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heBigOne 2020_06_02" sheetId="1" state="visible" r:id="rId2"/>
    <sheet name="Sheet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<sst xmlns="http://schemas.openxmlformats.org/spreadsheetml/2006/main" count="42" uniqueCount="42">
  <si>
    <t xml:space="preserve">Number</t>
  </si>
  <si>
    <t xml:space="preserve">Group (0=TT/D, 1=TT/A, 2=INT/A, 3=INT/D) </t>
  </si>
  <si>
    <t xml:space="preserve">Tracheostomy (1=Yes, 0=no)</t>
  </si>
  <si>
    <t xml:space="preserve">Survival</t>
  </si>
  <si>
    <t xml:space="preserve">EVENT_death</t>
  </si>
  <si>
    <t xml:space="preserve">Days_to_event_death</t>
  </si>
  <si>
    <t xml:space="preserve">Days to Extubation</t>
  </si>
  <si>
    <t xml:space="preserve">Thromboembolism</t>
  </si>
  <si>
    <t xml:space="preserve">CTfibrosis</t>
  </si>
  <si>
    <t xml:space="preserve">HI_Phenotype</t>
  </si>
  <si>
    <t xml:space="preserve">Gender</t>
  </si>
  <si>
    <t xml:space="preserve">Age</t>
  </si>
  <si>
    <t xml:space="preserve">BMI</t>
  </si>
  <si>
    <t xml:space="preserve">Ethnicity</t>
  </si>
  <si>
    <t xml:space="preserve">Diabetes</t>
  </si>
  <si>
    <t xml:space="preserve">HTN</t>
  </si>
  <si>
    <t xml:space="preserve">IHD</t>
  </si>
  <si>
    <t xml:space="preserve">COPD</t>
  </si>
  <si>
    <t xml:space="preserve">Asthma</t>
  </si>
  <si>
    <t xml:space="preserve">CKD</t>
  </si>
  <si>
    <t xml:space="preserve">Smoking</t>
  </si>
  <si>
    <t xml:space="preserve">OtherComorbidities</t>
  </si>
  <si>
    <t xml:space="preserve">PEEP_7</t>
  </si>
  <si>
    <t xml:space="preserve">FiO2_7</t>
  </si>
  <si>
    <t xml:space="preserve">PaO2_7</t>
  </si>
  <si>
    <t xml:space="preserve">PF_Ratio_7</t>
  </si>
  <si>
    <t xml:space="preserve">CRP_7</t>
  </si>
  <si>
    <t xml:space="preserve">Ferritin_7</t>
  </si>
  <si>
    <t xml:space="preserve">D_Dimer_7</t>
  </si>
  <si>
    <t xml:space="preserve">Temperature_7</t>
  </si>
  <si>
    <t xml:space="preserve">Vasopressors_7</t>
  </si>
  <si>
    <t xml:space="preserve">RRT_7</t>
  </si>
  <si>
    <t xml:space="preserve">ECMO_7</t>
  </si>
  <si>
    <t xml:space="preserve">MethylPred_7</t>
  </si>
  <si>
    <t xml:space="preserve">ABX_7</t>
  </si>
  <si>
    <t xml:space="preserve">filter_$</t>
  </si>
  <si>
    <t xml:space="preserve">Days to death</t>
  </si>
  <si>
    <t xml:space="preserve">Overall</t>
  </si>
  <si>
    <t xml:space="preserve">Group 0</t>
  </si>
  <si>
    <t xml:space="preserve">Group 3</t>
  </si>
  <si>
    <t xml:space="preserve">Days to extubation</t>
  </si>
  <si>
    <t xml:space="preserve">Group 2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</si>
</sst>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&quot;TRUE&quot;;&quot;TRUE&quot;;&quot;FALSE&quot;"/>
    <numFmt numFmtId="166" formatCode="#,##0.00"/>
    <numFmt numFmtId="167" formatCode="@"/>
  </numFmts>
  <fonts count="5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C5E0B4"/>
        <bgColor rgb="FFD6DCE5"/>
      </patternFill>
    </fill>
    <fill>
      <patternFill patternType="solid">
        <fgColor rgb="FFFFE699"/>
        <bgColor rgb="FFFFCC99"/>
      </patternFill>
    </fill>
    <fill>
      <patternFill patternType="solid">
        <fgColor rgb="FFFFFFFF"/>
        <bgColor rgb="FFFFFFCC"/>
      </patternFill>
    </fill>
    <fill>
      <patternFill patternType="solid">
        <fgColor rgb="FFDAE3F3"/>
        <bgColor rgb="FFD6DCE5"/>
      </patternFill>
    </fill>
    <fill>
      <patternFill patternType="solid">
        <fgColor rgb="FFB4C7E7"/>
        <bgColor rgb="FF99CCFF"/>
      </patternFill>
    </fill>
    <fill>
      <patternFill patternType="solid">
        <fgColor rgb="FF8FAADC"/>
        <bgColor rgb="FF969696"/>
      </patternFill>
    </fill>
    <fill>
      <patternFill patternType="solid">
        <fgColor rgb="FFD6DCE5"/>
        <bgColor rgb="FFDAE3F3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ck"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4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4" fillId="3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4" fillId="3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4" fillId="3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4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4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4" fillId="2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4" fillId="4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4" fillId="5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4" fillId="6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4" fillId="7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4" fillId="8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4" fillId="8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4" fillId="8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4" fillId="8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8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7E7"/>
      <rgbColor rgb="FF808080"/>
      <rgbColor rgb="FF8FAADC"/>
      <rgbColor rgb="FF993366"/>
      <rgbColor rgb="FFFFFFCC"/>
      <rgbColor rgb="FFDAE3F3"/>
      <rgbColor rgb="FF660066"/>
      <rgbColor rgb="FFFF8080"/>
      <rgbColor rgb="FF0066CC"/>
      <rgbColor rgb="FFD6DC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5E0B4"/>
      <rgbColor rgb="FFFFE6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MJ481"/>
  <sheetViews>
    <sheetView showFormulas="false" showGridLines="true" showRowColHeaders="true" showZeros="true" rightToLeft="false" tabSelected="true" showOutlineSymbols="true" defaultGridColor="true" view="normal" topLeftCell="A1" colorId="64" zoomScale="90" zoomScaleNormal="90" zoomScalePageLayoutView="100" workbookViewId="0">
      <pane xSplit="1" ySplit="2" topLeftCell="Q3" activePane="bottomRight" state="frozen"/>
      <selection pane="topLeft" activeCell="A1" activeCellId="0" sqref="A1"/>
      <selection pane="topRight" activeCell="Q1" activeCellId="0" sqref="Q1"/>
      <selection pane="bottomLeft" activeCell="A3" activeCellId="0" sqref="A3"/>
      <selection pane="bottomRight" activeCell="AM172" activeCellId="0" sqref="AM172"/>
    </sheetView>
  </sheetViews>
  <sheetFormatPr defaultColWidth="8.6875" defaultRowHeight="12.8" zeroHeight="false" outlineLevelRow="0" outlineLevelCol="0"/>
  <cols>
    <col collapsed="false" customWidth="true" hidden="false" outlineLevel="0" max="1" min="1" style="0" width="7.87"/>
    <col collapsed="false" customWidth="true" hidden="false" outlineLevel="0" max="2" min="2" style="0" width="39.13"/>
    <col collapsed="false" customWidth="true" hidden="false" outlineLevel="0" max="3" min="3" style="1" width="24.54"/>
    <col collapsed="false" customWidth="true" hidden="false" outlineLevel="0" max="4" min="4" style="0" width="8.14"/>
    <col collapsed="false" customWidth="true" hidden="false" outlineLevel="0" max="5" min="5" style="1" width="13.01"/>
    <col collapsed="false" customWidth="true" hidden="false" outlineLevel="0" max="7" min="6" style="0" width="20.6"/>
    <col collapsed="false" customWidth="true" hidden="false" outlineLevel="0" max="8" min="8" style="2" width="16.73"/>
    <col collapsed="false" customWidth="true" hidden="false" outlineLevel="0" max="9" min="9" style="1" width="10"/>
    <col collapsed="false" customWidth="true" hidden="false" outlineLevel="0" max="10" min="10" style="1" width="13.01"/>
    <col collapsed="false" customWidth="true" hidden="false" outlineLevel="0" max="11" min="11" style="1" width="7.73"/>
    <col collapsed="false" customWidth="true" hidden="false" outlineLevel="0" max="13" min="12" style="0" width="6.01"/>
    <col collapsed="false" customWidth="true" hidden="false" outlineLevel="0" max="14" min="14" style="0" width="8.4"/>
    <col collapsed="false" customWidth="false" hidden="false" outlineLevel="0" max="15" min="15" style="1" width="8.73"/>
    <col collapsed="false" customWidth="true" hidden="false" outlineLevel="0" max="18" min="16" style="1" width="7.49"/>
    <col collapsed="false" customWidth="true" hidden="false" outlineLevel="0" max="19" min="19" style="1" width="7.95"/>
    <col collapsed="false" customWidth="true" hidden="false" outlineLevel="0" max="20" min="20" style="1" width="7.49"/>
    <col collapsed="false" customWidth="true" hidden="false" outlineLevel="0" max="21" min="21" style="1" width="8.4"/>
    <col collapsed="false" customWidth="true" hidden="false" outlineLevel="0" max="22" min="22" style="0" width="17.73"/>
    <col collapsed="false" customWidth="true" hidden="false" outlineLevel="0" max="23" min="23" style="3" width="8.14"/>
    <col collapsed="false" customWidth="true" hidden="false" outlineLevel="0" max="24" min="24" style="4" width="7.26"/>
    <col collapsed="false" customWidth="true" hidden="false" outlineLevel="0" max="25" min="25" style="4" width="8"/>
    <col collapsed="false" customWidth="true" hidden="false" outlineLevel="0" max="26" min="26" style="4" width="10.86"/>
    <col collapsed="false" customWidth="true" hidden="false" outlineLevel="0" max="27" min="27" style="4" width="7.14"/>
    <col collapsed="false" customWidth="true" hidden="false" outlineLevel="0" max="28" min="28" style="4" width="9.86"/>
    <col collapsed="false" customWidth="true" hidden="false" outlineLevel="0" max="29" min="29" style="4" width="10.6"/>
    <col collapsed="false" customWidth="true" hidden="false" outlineLevel="0" max="30" min="30" style="4" width="14.4"/>
    <col collapsed="false" customWidth="true" hidden="false" outlineLevel="0" max="31" min="31" style="5" width="16"/>
    <col collapsed="false" customWidth="true" hidden="false" outlineLevel="0" max="32" min="32" style="5" width="7"/>
    <col collapsed="false" customWidth="true" hidden="false" outlineLevel="0" max="33" min="33" style="5" width="8.6"/>
    <col collapsed="false" customWidth="true" hidden="false" outlineLevel="0" max="34" min="34" style="5" width="12.86"/>
    <col collapsed="false" customWidth="true" hidden="false" outlineLevel="0" max="35" min="35" style="5" width="7.26"/>
    <col collapsed="false" customWidth="true" hidden="false" outlineLevel="0" max="36" min="36" style="1" width="7.14"/>
    <col collapsed="false" customWidth="true" hidden="false" outlineLevel="0" max="1024" min="986" style="0" width="11.52"/>
  </cols>
  <sheetData>
    <row r="1" s="14" customFormat="true" ht="12.8" hidden="false" customHeight="false" outlineLevel="0" collapsed="false">
      <c r="A1" s="6" t="s">
        <v>0</v>
      </c>
      <c r="B1" s="6" t="s">
        <v>1</v>
      </c>
      <c r="C1" s="7" t="s">
        <v>2</v>
      </c>
      <c r="D1" s="6" t="s">
        <v>3</v>
      </c>
      <c r="E1" s="7" t="s">
        <v>4</v>
      </c>
      <c r="F1" s="6" t="s">
        <v>5</v>
      </c>
      <c r="G1" s="6" t="s">
        <v>6</v>
      </c>
      <c r="H1" s="8" t="s">
        <v>7</v>
      </c>
      <c r="I1" s="9" t="s">
        <v>8</v>
      </c>
      <c r="J1" s="9" t="s">
        <v>9</v>
      </c>
      <c r="K1" s="9" t="s">
        <v>10</v>
      </c>
      <c r="L1" s="10" t="s">
        <v>11</v>
      </c>
      <c r="M1" s="10" t="s">
        <v>12</v>
      </c>
      <c r="N1" s="10" t="s">
        <v>13</v>
      </c>
      <c r="O1" s="9" t="s">
        <v>14</v>
      </c>
      <c r="P1" s="9" t="s">
        <v>15</v>
      </c>
      <c r="Q1" s="9" t="s">
        <v>16</v>
      </c>
      <c r="R1" s="9" t="s">
        <v>17</v>
      </c>
      <c r="S1" s="9" t="s">
        <v>18</v>
      </c>
      <c r="T1" s="9" t="s">
        <v>19</v>
      </c>
      <c r="U1" s="9" t="s">
        <v>20</v>
      </c>
      <c r="V1" s="10" t="s">
        <v>21</v>
      </c>
      <c r="W1" s="11" t="s">
        <v>22</v>
      </c>
      <c r="X1" s="12" t="s">
        <v>23</v>
      </c>
      <c r="Y1" s="12" t="s">
        <v>24</v>
      </c>
      <c r="Z1" s="12" t="s">
        <v>25</v>
      </c>
      <c r="AA1" s="12" t="s">
        <v>26</v>
      </c>
      <c r="AB1" s="12" t="s">
        <v>27</v>
      </c>
      <c r="AC1" s="12" t="s">
        <v>28</v>
      </c>
      <c r="AD1" s="12" t="s">
        <v>29</v>
      </c>
      <c r="AE1" s="13" t="s">
        <v>30</v>
      </c>
      <c r="AF1" s="13" t="s">
        <v>31</v>
      </c>
      <c r="AG1" s="13" t="s">
        <v>32</v>
      </c>
      <c r="AH1" s="13" t="s">
        <v>33</v>
      </c>
      <c r="AI1" s="13" t="s">
        <v>34</v>
      </c>
      <c r="AJ1" s="7" t="s">
        <v>35</v>
      </c>
      <c r="AKX1" s="0"/>
      <c r="AKY1" s="0"/>
      <c r="AKZ1" s="0"/>
      <c r="ALA1" s="0"/>
      <c r="ALB1" s="0"/>
      <c r="ALC1" s="0"/>
      <c r="ALD1" s="0"/>
      <c r="ALE1" s="0"/>
      <c r="ALF1" s="0"/>
      <c r="ALG1" s="0"/>
      <c r="ALH1" s="0"/>
      <c r="ALI1" s="0"/>
      <c r="ALJ1" s="0"/>
      <c r="ALK1" s="0"/>
      <c r="ALL1" s="0"/>
      <c r="ALM1" s="0"/>
      <c r="ALN1" s="0"/>
      <c r="ALO1" s="0"/>
      <c r="ALP1" s="0"/>
      <c r="ALQ1" s="0"/>
      <c r="ALR1" s="0"/>
      <c r="ALS1" s="0"/>
      <c r="ALT1" s="0"/>
      <c r="ALU1" s="0"/>
      <c r="ALV1" s="0"/>
      <c r="ALW1" s="0"/>
      <c r="ALX1" s="0"/>
      <c r="ALY1" s="0"/>
      <c r="ALZ1" s="0"/>
      <c r="AMA1" s="0"/>
      <c r="AMB1" s="0"/>
      <c r="AMC1" s="0"/>
      <c r="AMD1" s="0"/>
      <c r="AME1" s="0"/>
      <c r="AMF1" s="0"/>
      <c r="AMG1" s="0"/>
      <c r="AMH1" s="0"/>
      <c r="AMI1" s="0"/>
      <c r="AMJ1" s="0"/>
    </row>
    <row r="2" customFormat="false" ht="12.8" hidden="false" customHeight="false" outlineLevel="0" collapsed="false">
      <c r="A2" s="15" t="n">
        <v>26</v>
      </c>
      <c r="B2" s="6" t="n">
        <v>0</v>
      </c>
      <c r="C2" s="7" t="b">
        <v>1</v>
      </c>
      <c r="D2" s="7" t="b">
        <v>1</v>
      </c>
      <c r="E2" s="7" t="b">
        <v>1</v>
      </c>
      <c r="F2" s="6" t="n">
        <v>29</v>
      </c>
      <c r="G2" s="6"/>
      <c r="H2" s="16" t="b">
        <v>0</v>
      </c>
      <c r="I2" s="7" t="b">
        <v>1</v>
      </c>
      <c r="J2" s="7" t="b">
        <v>1</v>
      </c>
      <c r="K2" s="7" t="b">
        <v>1</v>
      </c>
      <c r="L2" s="6" t="n">
        <v>72</v>
      </c>
      <c r="M2" s="6" t="n">
        <v>27.47623981</v>
      </c>
      <c r="N2" s="6" t="n">
        <v>0</v>
      </c>
      <c r="O2" s="7" t="b">
        <v>1</v>
      </c>
      <c r="P2" s="7" t="b">
        <v>0</v>
      </c>
      <c r="Q2" s="7" t="b">
        <v>0</v>
      </c>
      <c r="R2" s="7" t="b">
        <v>0</v>
      </c>
      <c r="S2" s="7" t="b">
        <v>0</v>
      </c>
      <c r="T2" s="7" t="b">
        <v>0</v>
      </c>
      <c r="U2" s="7" t="b">
        <v>0</v>
      </c>
      <c r="V2" s="6" t="n">
        <v>0</v>
      </c>
      <c r="W2" s="17" t="n">
        <v>10</v>
      </c>
      <c r="X2" s="6" t="n">
        <v>0.8</v>
      </c>
      <c r="Y2" s="6" t="n">
        <v>9.22</v>
      </c>
      <c r="Z2" s="6" t="n">
        <f aca="false">(Y2*7.5006157584566)/X2</f>
        <v>86.4445966162123</v>
      </c>
      <c r="AA2" s="6" t="n">
        <v>306</v>
      </c>
      <c r="AB2" s="6" t="n">
        <v>1099</v>
      </c>
      <c r="AC2" s="6" t="n">
        <v>12.5</v>
      </c>
      <c r="AD2" s="6" t="n">
        <v>36.8</v>
      </c>
      <c r="AE2" s="7" t="b">
        <v>0</v>
      </c>
      <c r="AF2" s="7" t="b">
        <v>0</v>
      </c>
      <c r="AG2" s="7" t="b">
        <v>0</v>
      </c>
      <c r="AH2" s="7" t="b">
        <v>1</v>
      </c>
      <c r="AI2" s="7" t="b">
        <v>0</v>
      </c>
      <c r="AJ2" s="7" t="b">
        <v>0</v>
      </c>
    </row>
    <row r="3" s="14" customFormat="true" ht="12.8" hidden="false" customHeight="false" outlineLevel="0" collapsed="false">
      <c r="A3" s="15" t="n">
        <v>33</v>
      </c>
      <c r="B3" s="6" t="n">
        <v>0</v>
      </c>
      <c r="C3" s="7" t="b">
        <v>1</v>
      </c>
      <c r="D3" s="7" t="b">
        <v>1</v>
      </c>
      <c r="E3" s="7" t="b">
        <v>1</v>
      </c>
      <c r="F3" s="6" t="n">
        <v>34</v>
      </c>
      <c r="G3" s="6"/>
      <c r="H3" s="16" t="b">
        <v>1</v>
      </c>
      <c r="I3" s="7" t="b">
        <v>0</v>
      </c>
      <c r="J3" s="7" t="b">
        <v>1</v>
      </c>
      <c r="K3" s="7" t="b">
        <v>0</v>
      </c>
      <c r="L3" s="6" t="n">
        <v>57</v>
      </c>
      <c r="M3" s="6" t="n">
        <v>30.86419753</v>
      </c>
      <c r="N3" s="6" t="n">
        <v>1</v>
      </c>
      <c r="O3" s="7" t="b">
        <v>0</v>
      </c>
      <c r="P3" s="7" t="b">
        <v>0</v>
      </c>
      <c r="Q3" s="7" t="b">
        <v>0</v>
      </c>
      <c r="R3" s="7" t="b">
        <v>0</v>
      </c>
      <c r="S3" s="7" t="b">
        <v>0</v>
      </c>
      <c r="T3" s="7" t="b">
        <v>0</v>
      </c>
      <c r="U3" s="7" t="b">
        <v>0</v>
      </c>
      <c r="V3" s="6" t="n">
        <v>0</v>
      </c>
      <c r="W3" s="17" t="n">
        <v>14</v>
      </c>
      <c r="X3" s="6" t="n">
        <v>0.7</v>
      </c>
      <c r="Y3" s="6" t="n">
        <v>6.6</v>
      </c>
      <c r="Z3" s="6" t="n">
        <f aca="false">(Y3*7.5006157584566)/X3</f>
        <v>70.7200914368765</v>
      </c>
      <c r="AA3" s="6" t="n">
        <v>316</v>
      </c>
      <c r="AB3" s="6" t="n">
        <v>8864</v>
      </c>
      <c r="AC3" s="6" t="n">
        <v>20.04</v>
      </c>
      <c r="AD3" s="6" t="n">
        <v>37.5</v>
      </c>
      <c r="AE3" s="7" t="b">
        <v>1</v>
      </c>
      <c r="AF3" s="7" t="b">
        <v>1</v>
      </c>
      <c r="AG3" s="7" t="b">
        <v>0</v>
      </c>
      <c r="AH3" s="7" t="b">
        <v>0</v>
      </c>
      <c r="AI3" s="7" t="b">
        <v>1</v>
      </c>
      <c r="AJ3" s="7" t="b">
        <v>0</v>
      </c>
      <c r="AKX3" s="0"/>
      <c r="AKY3" s="0"/>
      <c r="AKZ3" s="0"/>
      <c r="ALA3" s="0"/>
      <c r="ALB3" s="0"/>
      <c r="ALC3" s="0"/>
      <c r="ALD3" s="0"/>
      <c r="ALE3" s="0"/>
      <c r="ALF3" s="0"/>
      <c r="ALG3" s="0"/>
      <c r="ALH3" s="0"/>
      <c r="ALI3" s="0"/>
      <c r="ALJ3" s="0"/>
      <c r="ALK3" s="0"/>
      <c r="ALL3" s="0"/>
      <c r="ALM3" s="0"/>
      <c r="ALN3" s="0"/>
      <c r="ALO3" s="0"/>
      <c r="ALP3" s="0"/>
      <c r="ALQ3" s="0"/>
      <c r="ALR3" s="0"/>
      <c r="ALS3" s="0"/>
      <c r="ALT3" s="0"/>
      <c r="ALU3" s="0"/>
      <c r="ALV3" s="0"/>
      <c r="ALW3" s="0"/>
      <c r="ALX3" s="0"/>
      <c r="ALY3" s="0"/>
      <c r="ALZ3" s="0"/>
      <c r="AMA3" s="0"/>
      <c r="AMB3" s="0"/>
      <c r="AMC3" s="0"/>
      <c r="AMD3" s="0"/>
      <c r="AME3" s="0"/>
      <c r="AMF3" s="0"/>
      <c r="AMG3" s="0"/>
      <c r="AMH3" s="0"/>
      <c r="AMI3" s="0"/>
      <c r="AMJ3" s="0"/>
    </row>
    <row r="4" s="14" customFormat="true" ht="12.8" hidden="false" customHeight="false" outlineLevel="0" collapsed="false">
      <c r="A4" s="15" t="n">
        <v>37</v>
      </c>
      <c r="B4" s="6" t="n">
        <v>0</v>
      </c>
      <c r="C4" s="7" t="b">
        <v>1</v>
      </c>
      <c r="D4" s="7" t="b">
        <v>1</v>
      </c>
      <c r="E4" s="7" t="b">
        <v>1</v>
      </c>
      <c r="F4" s="6" t="n">
        <v>28</v>
      </c>
      <c r="G4" s="6"/>
      <c r="H4" s="16" t="b">
        <v>0</v>
      </c>
      <c r="I4" s="7" t="b">
        <v>1</v>
      </c>
      <c r="J4" s="7" t="b">
        <v>1</v>
      </c>
      <c r="K4" s="7" t="b">
        <v>1</v>
      </c>
      <c r="L4" s="6" t="n">
        <v>41</v>
      </c>
      <c r="M4" s="6" t="n">
        <v>34.60207612</v>
      </c>
      <c r="N4" s="6" t="n">
        <v>0</v>
      </c>
      <c r="O4" s="7" t="b">
        <v>0</v>
      </c>
      <c r="P4" s="7" t="b">
        <v>0</v>
      </c>
      <c r="Q4" s="7" t="b">
        <v>0</v>
      </c>
      <c r="R4" s="7" t="b">
        <v>0</v>
      </c>
      <c r="S4" s="7" t="b">
        <v>1</v>
      </c>
      <c r="T4" s="7" t="b">
        <v>0</v>
      </c>
      <c r="U4" s="7" t="b">
        <v>0</v>
      </c>
      <c r="V4" s="6" t="n">
        <v>0</v>
      </c>
      <c r="W4" s="17" t="n">
        <v>12</v>
      </c>
      <c r="X4" s="6" t="n">
        <v>0.45</v>
      </c>
      <c r="Y4" s="6" t="n">
        <v>16.24</v>
      </c>
      <c r="Z4" s="6" t="n">
        <f aca="false">(Y4*7.5006157584566)/X4</f>
        <v>270.688888705189</v>
      </c>
      <c r="AA4" s="6" t="n">
        <v>315</v>
      </c>
      <c r="AB4" s="6" t="n">
        <v>299</v>
      </c>
      <c r="AC4" s="6" t="n">
        <v>9.1</v>
      </c>
      <c r="AD4" s="6" t="n">
        <v>37.3</v>
      </c>
      <c r="AE4" s="7" t="b">
        <v>0</v>
      </c>
      <c r="AF4" s="7" t="b">
        <v>0</v>
      </c>
      <c r="AG4" s="7" t="b">
        <v>1</v>
      </c>
      <c r="AH4" s="7" t="b">
        <v>0</v>
      </c>
      <c r="AI4" s="7" t="b">
        <v>1</v>
      </c>
      <c r="AJ4" s="7" t="b">
        <v>0</v>
      </c>
      <c r="AKX4" s="0"/>
      <c r="AKY4" s="0"/>
      <c r="AKZ4" s="0"/>
      <c r="ALA4" s="0"/>
      <c r="ALB4" s="0"/>
      <c r="ALC4" s="0"/>
      <c r="ALD4" s="0"/>
      <c r="ALE4" s="0"/>
      <c r="ALF4" s="0"/>
      <c r="ALG4" s="0"/>
      <c r="ALH4" s="0"/>
      <c r="ALI4" s="0"/>
      <c r="ALJ4" s="0"/>
      <c r="ALK4" s="0"/>
      <c r="ALL4" s="0"/>
      <c r="ALM4" s="0"/>
      <c r="ALN4" s="0"/>
      <c r="ALO4" s="0"/>
      <c r="ALP4" s="0"/>
      <c r="ALQ4" s="0"/>
      <c r="ALR4" s="0"/>
      <c r="ALS4" s="0"/>
      <c r="ALT4" s="0"/>
      <c r="ALU4" s="0"/>
      <c r="ALV4" s="0"/>
      <c r="ALW4" s="0"/>
      <c r="ALX4" s="0"/>
      <c r="ALY4" s="0"/>
      <c r="ALZ4" s="0"/>
      <c r="AMA4" s="0"/>
      <c r="AMB4" s="0"/>
      <c r="AMC4" s="0"/>
      <c r="AMD4" s="0"/>
      <c r="AME4" s="0"/>
      <c r="AMF4" s="0"/>
      <c r="AMG4" s="0"/>
      <c r="AMH4" s="0"/>
      <c r="AMI4" s="0"/>
      <c r="AMJ4" s="0"/>
    </row>
    <row r="5" s="14" customFormat="true" ht="12.8" hidden="false" customHeight="false" outlineLevel="0" collapsed="false">
      <c r="A5" s="15" t="n">
        <v>48</v>
      </c>
      <c r="B5" s="6" t="n">
        <v>0</v>
      </c>
      <c r="C5" s="7" t="b">
        <v>1</v>
      </c>
      <c r="D5" s="7" t="b">
        <v>1</v>
      </c>
      <c r="E5" s="7" t="b">
        <v>1</v>
      </c>
      <c r="F5" s="6" t="n">
        <v>17</v>
      </c>
      <c r="G5" s="6"/>
      <c r="H5" s="16" t="b">
        <v>1</v>
      </c>
      <c r="I5" s="7" t="b">
        <v>1</v>
      </c>
      <c r="J5" s="7" t="b">
        <v>1</v>
      </c>
      <c r="K5" s="7" t="b">
        <v>0</v>
      </c>
      <c r="L5" s="6" t="n">
        <v>33</v>
      </c>
      <c r="M5" s="6" t="n">
        <v>22.49134948</v>
      </c>
      <c r="N5" s="6" t="n">
        <v>2</v>
      </c>
      <c r="O5" s="7" t="b">
        <v>0</v>
      </c>
      <c r="P5" s="7" t="b">
        <v>0</v>
      </c>
      <c r="Q5" s="7" t="b">
        <v>0</v>
      </c>
      <c r="R5" s="7" t="b">
        <v>0</v>
      </c>
      <c r="S5" s="7" t="b">
        <v>0</v>
      </c>
      <c r="T5" s="7" t="b">
        <v>0</v>
      </c>
      <c r="U5" s="7" t="b">
        <v>0</v>
      </c>
      <c r="V5" s="6" t="n">
        <v>0</v>
      </c>
      <c r="W5" s="17" t="n">
        <v>10</v>
      </c>
      <c r="X5" s="6" t="n">
        <v>0.5</v>
      </c>
      <c r="Y5" s="6" t="n">
        <v>12.45</v>
      </c>
      <c r="Z5" s="6" t="n">
        <f aca="false">(Y5*7.5006157584566)/X5</f>
        <v>186.765332385569</v>
      </c>
      <c r="AA5" s="6" t="n">
        <v>226</v>
      </c>
      <c r="AB5" s="6" t="n">
        <v>2264</v>
      </c>
      <c r="AC5" s="6" t="n">
        <v>22.77</v>
      </c>
      <c r="AD5" s="6" t="n">
        <v>37.4</v>
      </c>
      <c r="AE5" s="7" t="b">
        <v>1</v>
      </c>
      <c r="AF5" s="7" t="b">
        <v>0</v>
      </c>
      <c r="AG5" s="7" t="b">
        <v>1</v>
      </c>
      <c r="AH5" s="7" t="b">
        <v>0</v>
      </c>
      <c r="AI5" s="7" t="b">
        <v>1</v>
      </c>
      <c r="AJ5" s="7" t="b">
        <v>0</v>
      </c>
      <c r="AKX5" s="0"/>
      <c r="AKY5" s="0"/>
      <c r="AKZ5" s="0"/>
      <c r="ALA5" s="0"/>
      <c r="ALB5" s="0"/>
      <c r="ALC5" s="0"/>
      <c r="ALD5" s="0"/>
      <c r="ALE5" s="0"/>
      <c r="ALF5" s="0"/>
      <c r="ALG5" s="0"/>
      <c r="ALH5" s="0"/>
      <c r="ALI5" s="0"/>
      <c r="ALJ5" s="0"/>
      <c r="ALK5" s="0"/>
      <c r="ALL5" s="0"/>
      <c r="ALM5" s="0"/>
      <c r="ALN5" s="0"/>
      <c r="ALO5" s="0"/>
      <c r="ALP5" s="0"/>
      <c r="ALQ5" s="0"/>
      <c r="ALR5" s="0"/>
      <c r="ALS5" s="0"/>
      <c r="ALT5" s="0"/>
      <c r="ALU5" s="0"/>
      <c r="ALV5" s="0"/>
      <c r="ALW5" s="0"/>
      <c r="ALX5" s="0"/>
      <c r="ALY5" s="0"/>
      <c r="ALZ5" s="0"/>
      <c r="AMA5" s="0"/>
      <c r="AMB5" s="0"/>
      <c r="AMC5" s="0"/>
      <c r="AMD5" s="0"/>
      <c r="AME5" s="0"/>
      <c r="AMF5" s="0"/>
      <c r="AMG5" s="0"/>
      <c r="AMH5" s="0"/>
      <c r="AMI5" s="0"/>
      <c r="AMJ5" s="0"/>
    </row>
    <row r="6" s="14" customFormat="true" ht="12.8" hidden="false" customHeight="false" outlineLevel="0" collapsed="false">
      <c r="A6" s="15" t="n">
        <v>68</v>
      </c>
      <c r="B6" s="6" t="n">
        <v>0</v>
      </c>
      <c r="C6" s="7" t="b">
        <v>1</v>
      </c>
      <c r="D6" s="7" t="b">
        <v>1</v>
      </c>
      <c r="E6" s="7" t="b">
        <v>1</v>
      </c>
      <c r="F6" s="6" t="n">
        <v>48</v>
      </c>
      <c r="G6" s="6"/>
      <c r="H6" s="16" t="b">
        <v>1</v>
      </c>
      <c r="I6" s="7" t="b">
        <v>1</v>
      </c>
      <c r="J6" s="7" t="b">
        <v>1</v>
      </c>
      <c r="K6" s="7" t="b">
        <v>0</v>
      </c>
      <c r="L6" s="6" t="n">
        <v>63</v>
      </c>
      <c r="M6" s="6" t="n">
        <v>27.06405159</v>
      </c>
      <c r="N6" s="6" t="n">
        <v>0</v>
      </c>
      <c r="O6" s="7" t="b">
        <v>0</v>
      </c>
      <c r="P6" s="7" t="b">
        <v>0</v>
      </c>
      <c r="Q6" s="7" t="b">
        <v>0</v>
      </c>
      <c r="R6" s="7" t="b">
        <v>0</v>
      </c>
      <c r="S6" s="7" t="b">
        <v>0</v>
      </c>
      <c r="T6" s="7" t="b">
        <v>0</v>
      </c>
      <c r="U6" s="7" t="b">
        <v>0</v>
      </c>
      <c r="V6" s="6" t="n">
        <v>0</v>
      </c>
      <c r="W6" s="17" t="n">
        <v>10</v>
      </c>
      <c r="X6" s="6" t="n">
        <v>0.4</v>
      </c>
      <c r="Y6" s="6" t="n">
        <v>11.4</v>
      </c>
      <c r="Z6" s="6" t="n">
        <f aca="false">(Y6*7.5006157584566)/X6</f>
        <v>213.767549116013</v>
      </c>
      <c r="AA6" s="6" t="n">
        <v>189</v>
      </c>
      <c r="AB6" s="6" t="n">
        <v>2462</v>
      </c>
      <c r="AC6" s="6" t="n">
        <v>10.24</v>
      </c>
      <c r="AD6" s="6" t="n">
        <v>38.1</v>
      </c>
      <c r="AE6" s="7" t="b">
        <v>0</v>
      </c>
      <c r="AF6" s="7" t="b">
        <v>1</v>
      </c>
      <c r="AG6" s="7" t="b">
        <v>0</v>
      </c>
      <c r="AH6" s="7" t="b">
        <v>0</v>
      </c>
      <c r="AI6" s="7" t="b">
        <v>1</v>
      </c>
      <c r="AJ6" s="7" t="b">
        <v>0</v>
      </c>
      <c r="AKX6" s="0"/>
      <c r="AKY6" s="0"/>
      <c r="AKZ6" s="0"/>
      <c r="ALA6" s="0"/>
      <c r="ALB6" s="0"/>
      <c r="ALC6" s="0"/>
      <c r="ALD6" s="0"/>
      <c r="ALE6" s="0"/>
      <c r="ALF6" s="0"/>
      <c r="ALG6" s="0"/>
      <c r="ALH6" s="0"/>
      <c r="ALI6" s="0"/>
      <c r="ALJ6" s="0"/>
      <c r="ALK6" s="0"/>
      <c r="ALL6" s="0"/>
      <c r="ALM6" s="0"/>
      <c r="ALN6" s="0"/>
      <c r="ALO6" s="0"/>
      <c r="ALP6" s="0"/>
      <c r="ALQ6" s="0"/>
      <c r="ALR6" s="0"/>
      <c r="ALS6" s="0"/>
      <c r="ALT6" s="0"/>
      <c r="ALU6" s="0"/>
      <c r="ALV6" s="0"/>
      <c r="ALW6" s="0"/>
      <c r="ALX6" s="0"/>
      <c r="ALY6" s="0"/>
      <c r="ALZ6" s="0"/>
      <c r="AMA6" s="0"/>
      <c r="AMB6" s="0"/>
      <c r="AMC6" s="0"/>
      <c r="AMD6" s="0"/>
      <c r="AME6" s="0"/>
      <c r="AMF6" s="0"/>
      <c r="AMG6" s="0"/>
      <c r="AMH6" s="0"/>
      <c r="AMI6" s="0"/>
      <c r="AMJ6" s="0"/>
    </row>
    <row r="7" s="14" customFormat="true" ht="12.8" hidden="false" customHeight="false" outlineLevel="0" collapsed="false">
      <c r="A7" s="18" t="n">
        <v>1</v>
      </c>
      <c r="B7" s="6" t="n">
        <v>1</v>
      </c>
      <c r="C7" s="7" t="b">
        <v>1</v>
      </c>
      <c r="D7" s="7" t="b">
        <v>0</v>
      </c>
      <c r="E7" s="7" t="b">
        <v>0</v>
      </c>
      <c r="F7" s="6" t="n">
        <v>46</v>
      </c>
      <c r="G7" s="6"/>
      <c r="H7" s="16" t="b">
        <v>0</v>
      </c>
      <c r="I7" s="7" t="b">
        <v>0</v>
      </c>
      <c r="J7" s="7" t="b">
        <v>0</v>
      </c>
      <c r="K7" s="7" t="b">
        <v>1</v>
      </c>
      <c r="L7" s="6" t="n">
        <v>34</v>
      </c>
      <c r="M7" s="6" t="n">
        <v>37.18226068</v>
      </c>
      <c r="N7" s="6" t="n">
        <v>1</v>
      </c>
      <c r="O7" s="7" t="b">
        <v>0</v>
      </c>
      <c r="P7" s="7" t="b">
        <v>0</v>
      </c>
      <c r="Q7" s="7" t="b">
        <v>0</v>
      </c>
      <c r="R7" s="7" t="b">
        <v>0</v>
      </c>
      <c r="S7" s="7" t="b">
        <v>0</v>
      </c>
      <c r="T7" s="7" t="b">
        <v>0</v>
      </c>
      <c r="U7" s="7"/>
      <c r="V7" s="6" t="n">
        <v>0</v>
      </c>
      <c r="W7" s="17"/>
      <c r="X7" s="6" t="n">
        <v>0.4</v>
      </c>
      <c r="Y7" s="6" t="n">
        <v>6.52</v>
      </c>
      <c r="Z7" s="6" t="n">
        <f aca="false">(Y7*7.5006157584566)/X7</f>
        <v>122.260036862843</v>
      </c>
      <c r="AA7" s="6" t="n">
        <v>289</v>
      </c>
      <c r="AB7" s="6"/>
      <c r="AC7" s="6" t="n">
        <v>60.68</v>
      </c>
      <c r="AD7" s="6" t="n">
        <v>36.6</v>
      </c>
      <c r="AE7" s="7" t="b">
        <v>1</v>
      </c>
      <c r="AF7" s="7" t="b">
        <v>1</v>
      </c>
      <c r="AG7" s="7" t="b">
        <v>1</v>
      </c>
      <c r="AH7" s="7" t="b">
        <v>0</v>
      </c>
      <c r="AI7" s="7" t="b">
        <v>0</v>
      </c>
      <c r="AJ7" s="7" t="b">
        <v>0</v>
      </c>
      <c r="AKX7" s="0"/>
      <c r="AKY7" s="0"/>
      <c r="AKZ7" s="0"/>
      <c r="ALA7" s="0"/>
      <c r="ALB7" s="0"/>
      <c r="ALC7" s="0"/>
      <c r="ALD7" s="0"/>
      <c r="ALE7" s="0"/>
      <c r="ALF7" s="0"/>
      <c r="ALG7" s="0"/>
      <c r="ALH7" s="0"/>
      <c r="ALI7" s="0"/>
      <c r="ALJ7" s="0"/>
      <c r="ALK7" s="0"/>
      <c r="ALL7" s="0"/>
      <c r="ALM7" s="0"/>
      <c r="ALN7" s="0"/>
      <c r="ALO7" s="0"/>
      <c r="ALP7" s="0"/>
      <c r="ALQ7" s="0"/>
      <c r="ALR7" s="0"/>
      <c r="ALS7" s="0"/>
      <c r="ALT7" s="0"/>
      <c r="ALU7" s="0"/>
      <c r="ALV7" s="0"/>
      <c r="ALW7" s="0"/>
      <c r="ALX7" s="0"/>
      <c r="ALY7" s="0"/>
      <c r="ALZ7" s="0"/>
      <c r="AMA7" s="0"/>
      <c r="AMB7" s="0"/>
      <c r="AMC7" s="0"/>
      <c r="AMD7" s="0"/>
      <c r="AME7" s="0"/>
      <c r="AMF7" s="0"/>
      <c r="AMG7" s="0"/>
      <c r="AMH7" s="0"/>
      <c r="AMI7" s="0"/>
      <c r="AMJ7" s="0"/>
    </row>
    <row r="8" s="14" customFormat="true" ht="12.8" hidden="false" customHeight="false" outlineLevel="0" collapsed="false">
      <c r="A8" s="18" t="n">
        <v>2</v>
      </c>
      <c r="B8" s="6" t="n">
        <v>1</v>
      </c>
      <c r="C8" s="7" t="b">
        <v>1</v>
      </c>
      <c r="D8" s="7" t="b">
        <v>0</v>
      </c>
      <c r="E8" s="7" t="b">
        <v>0</v>
      </c>
      <c r="F8" s="6" t="n">
        <v>28</v>
      </c>
      <c r="G8" s="6"/>
      <c r="H8" s="16" t="b">
        <v>1</v>
      </c>
      <c r="I8" s="7" t="b">
        <v>0</v>
      </c>
      <c r="J8" s="7" t="b">
        <v>0</v>
      </c>
      <c r="K8" s="7" t="b">
        <v>1</v>
      </c>
      <c r="L8" s="6" t="n">
        <v>64</v>
      </c>
      <c r="M8" s="6" t="n">
        <v>38.54111729</v>
      </c>
      <c r="N8" s="6" t="n">
        <v>1</v>
      </c>
      <c r="O8" s="7" t="b">
        <v>0</v>
      </c>
      <c r="P8" s="7" t="b">
        <v>1</v>
      </c>
      <c r="Q8" s="7" t="b">
        <v>0</v>
      </c>
      <c r="R8" s="7" t="b">
        <v>0</v>
      </c>
      <c r="S8" s="7" t="b">
        <v>0</v>
      </c>
      <c r="T8" s="7" t="b">
        <v>0</v>
      </c>
      <c r="U8" s="7" t="b">
        <v>0</v>
      </c>
      <c r="V8" s="6" t="n">
        <v>1</v>
      </c>
      <c r="W8" s="17" t="n">
        <v>7</v>
      </c>
      <c r="X8" s="6" t="n">
        <v>0.45</v>
      </c>
      <c r="Y8" s="6" t="n">
        <v>8.95</v>
      </c>
      <c r="Z8" s="6" t="n">
        <f aca="false">(Y8*7.5006157584566)/X8</f>
        <v>149.178913418192</v>
      </c>
      <c r="AA8" s="6" t="n">
        <v>36</v>
      </c>
      <c r="AB8" s="6"/>
      <c r="AC8" s="6"/>
      <c r="AD8" s="6" t="n">
        <v>36.8</v>
      </c>
      <c r="AE8" s="7" t="b">
        <v>0</v>
      </c>
      <c r="AF8" s="7" t="b">
        <v>0</v>
      </c>
      <c r="AG8" s="7" t="b">
        <v>0</v>
      </c>
      <c r="AH8" s="7" t="b">
        <v>0</v>
      </c>
      <c r="AI8" s="7" t="b">
        <v>1</v>
      </c>
      <c r="AJ8" s="7" t="b">
        <v>0</v>
      </c>
      <c r="AKX8" s="0"/>
      <c r="AKY8" s="0"/>
      <c r="AKZ8" s="0"/>
      <c r="ALA8" s="0"/>
      <c r="ALB8" s="0"/>
      <c r="ALC8" s="0"/>
      <c r="ALD8" s="0"/>
      <c r="ALE8" s="0"/>
      <c r="ALF8" s="0"/>
      <c r="ALG8" s="0"/>
      <c r="ALH8" s="0"/>
      <c r="ALI8" s="0"/>
      <c r="ALJ8" s="0"/>
      <c r="ALK8" s="0"/>
      <c r="ALL8" s="0"/>
      <c r="ALM8" s="0"/>
      <c r="ALN8" s="0"/>
      <c r="ALO8" s="0"/>
      <c r="ALP8" s="0"/>
      <c r="ALQ8" s="0"/>
      <c r="ALR8" s="0"/>
      <c r="ALS8" s="0"/>
      <c r="ALT8" s="0"/>
      <c r="ALU8" s="0"/>
      <c r="ALV8" s="0"/>
      <c r="ALW8" s="0"/>
      <c r="ALX8" s="0"/>
      <c r="ALY8" s="0"/>
      <c r="ALZ8" s="0"/>
      <c r="AMA8" s="0"/>
      <c r="AMB8" s="0"/>
      <c r="AMC8" s="0"/>
      <c r="AMD8" s="0"/>
      <c r="AME8" s="0"/>
      <c r="AMF8" s="0"/>
      <c r="AMG8" s="0"/>
      <c r="AMH8" s="0"/>
      <c r="AMI8" s="0"/>
      <c r="AMJ8" s="0"/>
    </row>
    <row r="9" s="14" customFormat="true" ht="12.8" hidden="false" customHeight="false" outlineLevel="0" collapsed="false">
      <c r="A9" s="18" t="n">
        <v>3</v>
      </c>
      <c r="B9" s="6" t="n">
        <v>1</v>
      </c>
      <c r="C9" s="7" t="b">
        <v>1</v>
      </c>
      <c r="D9" s="7" t="b">
        <v>0</v>
      </c>
      <c r="E9" s="7" t="b">
        <v>0</v>
      </c>
      <c r="F9" s="6" t="n">
        <v>60</v>
      </c>
      <c r="G9" s="6"/>
      <c r="H9" s="16" t="b">
        <v>0</v>
      </c>
      <c r="I9" s="7" t="b">
        <v>1</v>
      </c>
      <c r="J9" s="7" t="b">
        <v>0</v>
      </c>
      <c r="K9" s="7" t="b">
        <v>0</v>
      </c>
      <c r="L9" s="6" t="n">
        <v>46</v>
      </c>
      <c r="M9" s="6" t="n">
        <v>34.19855682</v>
      </c>
      <c r="N9" s="6" t="n">
        <v>2</v>
      </c>
      <c r="O9" s="7" t="b">
        <v>0</v>
      </c>
      <c r="P9" s="7" t="b">
        <v>0</v>
      </c>
      <c r="Q9" s="7" t="b">
        <v>0</v>
      </c>
      <c r="R9" s="7" t="b">
        <v>0</v>
      </c>
      <c r="S9" s="7" t="b">
        <v>1</v>
      </c>
      <c r="T9" s="7" t="b">
        <v>0</v>
      </c>
      <c r="U9" s="7"/>
      <c r="V9" s="6" t="n">
        <v>0</v>
      </c>
      <c r="W9" s="17" t="n">
        <v>14</v>
      </c>
      <c r="X9" s="6" t="n">
        <v>0.4</v>
      </c>
      <c r="Y9" s="6" t="n">
        <v>6.9</v>
      </c>
      <c r="Z9" s="6" t="n">
        <f aca="false">(Y9*7.5006157584566)/X9</f>
        <v>129.385621833376</v>
      </c>
      <c r="AA9" s="6" t="n">
        <v>334</v>
      </c>
      <c r="AB9" s="6"/>
      <c r="AC9" s="6" t="n">
        <v>26.16</v>
      </c>
      <c r="AD9" s="6" t="n">
        <v>36.3</v>
      </c>
      <c r="AE9" s="7" t="b">
        <v>0</v>
      </c>
      <c r="AF9" s="7" t="b">
        <v>0</v>
      </c>
      <c r="AG9" s="7" t="b">
        <v>0</v>
      </c>
      <c r="AH9" s="7" t="b">
        <v>0</v>
      </c>
      <c r="AI9" s="7" t="b">
        <v>1</v>
      </c>
      <c r="AJ9" s="7" t="b">
        <v>0</v>
      </c>
      <c r="AKX9" s="0"/>
      <c r="AKY9" s="0"/>
      <c r="AKZ9" s="0"/>
      <c r="ALA9" s="0"/>
      <c r="ALB9" s="0"/>
      <c r="ALC9" s="0"/>
      <c r="ALD9" s="0"/>
      <c r="ALE9" s="0"/>
      <c r="ALF9" s="0"/>
      <c r="ALG9" s="0"/>
      <c r="ALH9" s="0"/>
      <c r="ALI9" s="0"/>
      <c r="ALJ9" s="0"/>
      <c r="ALK9" s="0"/>
      <c r="ALL9" s="0"/>
      <c r="ALM9" s="0"/>
      <c r="ALN9" s="0"/>
      <c r="ALO9" s="0"/>
      <c r="ALP9" s="0"/>
      <c r="ALQ9" s="0"/>
      <c r="ALR9" s="0"/>
      <c r="ALS9" s="0"/>
      <c r="ALT9" s="0"/>
      <c r="ALU9" s="0"/>
      <c r="ALV9" s="0"/>
      <c r="ALW9" s="0"/>
      <c r="ALX9" s="0"/>
      <c r="ALY9" s="0"/>
      <c r="ALZ9" s="0"/>
      <c r="AMA9" s="0"/>
      <c r="AMB9" s="0"/>
      <c r="AMC9" s="0"/>
      <c r="AMD9" s="0"/>
      <c r="AME9" s="0"/>
      <c r="AMF9" s="0"/>
      <c r="AMG9" s="0"/>
      <c r="AMH9" s="0"/>
      <c r="AMI9" s="0"/>
      <c r="AMJ9" s="0"/>
    </row>
    <row r="10" s="14" customFormat="true" ht="12.8" hidden="false" customHeight="false" outlineLevel="0" collapsed="false">
      <c r="A10" s="18" t="n">
        <v>4</v>
      </c>
      <c r="B10" s="6" t="n">
        <v>1</v>
      </c>
      <c r="C10" s="7" t="b">
        <v>1</v>
      </c>
      <c r="D10" s="7" t="b">
        <v>0</v>
      </c>
      <c r="E10" s="7" t="b">
        <v>0</v>
      </c>
      <c r="F10" s="6" t="n">
        <v>58</v>
      </c>
      <c r="G10" s="6"/>
      <c r="H10" s="16" t="b">
        <v>0</v>
      </c>
      <c r="I10" s="7" t="b">
        <v>1</v>
      </c>
      <c r="J10" s="7" t="b">
        <v>0</v>
      </c>
      <c r="K10" s="7" t="b">
        <v>0</v>
      </c>
      <c r="L10" s="6" t="n">
        <v>70</v>
      </c>
      <c r="M10" s="6" t="n">
        <v>23.67125363</v>
      </c>
      <c r="N10" s="6" t="n">
        <v>0</v>
      </c>
      <c r="O10" s="7" t="b">
        <v>0</v>
      </c>
      <c r="P10" s="7" t="b">
        <v>0</v>
      </c>
      <c r="Q10" s="7" t="b">
        <v>0</v>
      </c>
      <c r="R10" s="7" t="b">
        <v>0</v>
      </c>
      <c r="S10" s="7" t="b">
        <v>0</v>
      </c>
      <c r="T10" s="7" t="b">
        <v>0</v>
      </c>
      <c r="U10" s="7" t="b">
        <v>1</v>
      </c>
      <c r="V10" s="6" t="n">
        <v>0</v>
      </c>
      <c r="W10" s="17" t="n">
        <v>12</v>
      </c>
      <c r="X10" s="6" t="n">
        <v>0.6</v>
      </c>
      <c r="Y10" s="6" t="n">
        <v>7.55</v>
      </c>
      <c r="Z10" s="6" t="n">
        <f aca="false">(Y10*7.5006157584566)/X10</f>
        <v>94.3827482939122</v>
      </c>
      <c r="AA10" s="6" t="n">
        <v>187</v>
      </c>
      <c r="AB10" s="6" t="n">
        <v>2457</v>
      </c>
      <c r="AC10" s="6"/>
      <c r="AD10" s="6" t="n">
        <v>38.6</v>
      </c>
      <c r="AE10" s="7" t="b">
        <v>0</v>
      </c>
      <c r="AF10" s="7" t="b">
        <v>0</v>
      </c>
      <c r="AG10" s="7" t="b">
        <v>0</v>
      </c>
      <c r="AH10" s="7" t="b">
        <v>0</v>
      </c>
      <c r="AI10" s="7" t="b">
        <v>1</v>
      </c>
      <c r="AJ10" s="7" t="b">
        <v>0</v>
      </c>
      <c r="AKX10" s="0"/>
      <c r="AKY10" s="0"/>
      <c r="AKZ10" s="0"/>
      <c r="ALA10" s="0"/>
      <c r="ALB10" s="0"/>
      <c r="ALC10" s="0"/>
      <c r="ALD10" s="0"/>
      <c r="ALE10" s="0"/>
      <c r="ALF10" s="0"/>
      <c r="ALG10" s="0"/>
      <c r="ALH10" s="0"/>
      <c r="ALI10" s="0"/>
      <c r="ALJ10" s="0"/>
      <c r="ALK10" s="0"/>
      <c r="ALL10" s="0"/>
      <c r="ALM10" s="0"/>
      <c r="ALN10" s="0"/>
      <c r="ALO10" s="0"/>
      <c r="ALP10" s="0"/>
      <c r="ALQ10" s="0"/>
      <c r="ALR10" s="0"/>
      <c r="ALS10" s="0"/>
      <c r="ALT10" s="0"/>
      <c r="ALU10" s="0"/>
      <c r="ALV10" s="0"/>
      <c r="ALW10" s="0"/>
      <c r="ALX10" s="0"/>
      <c r="ALY10" s="0"/>
      <c r="ALZ10" s="0"/>
      <c r="AMA10" s="0"/>
      <c r="AMB10" s="0"/>
      <c r="AMC10" s="0"/>
      <c r="AMD10" s="0"/>
      <c r="AME10" s="0"/>
      <c r="AMF10" s="0"/>
      <c r="AMG10" s="0"/>
      <c r="AMH10" s="0"/>
      <c r="AMI10" s="0"/>
      <c r="AMJ10" s="0"/>
    </row>
    <row r="11" s="14" customFormat="true" ht="12.8" hidden="false" customHeight="false" outlineLevel="0" collapsed="false">
      <c r="A11" s="18" t="n">
        <v>5</v>
      </c>
      <c r="B11" s="6" t="n">
        <v>1</v>
      </c>
      <c r="C11" s="7" t="b">
        <v>1</v>
      </c>
      <c r="D11" s="7" t="b">
        <v>0</v>
      </c>
      <c r="E11" s="7" t="b">
        <v>0</v>
      </c>
      <c r="F11" s="6" t="n">
        <v>49</v>
      </c>
      <c r="G11" s="6"/>
      <c r="H11" s="16" t="b">
        <v>0</v>
      </c>
      <c r="I11" s="7" t="b">
        <v>0</v>
      </c>
      <c r="J11" s="7" t="b">
        <v>0</v>
      </c>
      <c r="K11" s="7" t="b">
        <v>1</v>
      </c>
      <c r="L11" s="6" t="n">
        <v>62</v>
      </c>
      <c r="M11" s="6" t="n">
        <v>39.12866085</v>
      </c>
      <c r="N11" s="6" t="n">
        <v>1</v>
      </c>
      <c r="O11" s="7" t="b">
        <v>0</v>
      </c>
      <c r="P11" s="7" t="b">
        <v>1</v>
      </c>
      <c r="Q11" s="7" t="b">
        <v>0</v>
      </c>
      <c r="R11" s="7" t="b">
        <v>0</v>
      </c>
      <c r="S11" s="7" t="b">
        <v>0</v>
      </c>
      <c r="T11" s="7" t="b">
        <v>1</v>
      </c>
      <c r="U11" s="7"/>
      <c r="V11" s="6" t="n">
        <v>2</v>
      </c>
      <c r="W11" s="17" t="n">
        <v>12</v>
      </c>
      <c r="X11" s="6" t="n">
        <v>0.45</v>
      </c>
      <c r="Y11" s="6" t="n">
        <v>8.4</v>
      </c>
      <c r="Z11" s="6" t="n">
        <f aca="false">(Y11*7.5006157584566)/X11</f>
        <v>140.011494157857</v>
      </c>
      <c r="AA11" s="6" t="n">
        <v>276</v>
      </c>
      <c r="AB11" s="6" t="n">
        <v>1064</v>
      </c>
      <c r="AC11" s="6"/>
      <c r="AD11" s="6" t="n">
        <v>39.8</v>
      </c>
      <c r="AE11" s="7" t="b">
        <v>0</v>
      </c>
      <c r="AF11" s="7" t="b">
        <v>0</v>
      </c>
      <c r="AG11" s="7" t="b">
        <v>0</v>
      </c>
      <c r="AH11" s="7" t="b">
        <v>0</v>
      </c>
      <c r="AI11" s="7" t="b">
        <v>1</v>
      </c>
      <c r="AJ11" s="7" t="b">
        <v>0</v>
      </c>
      <c r="AKX11" s="0"/>
      <c r="AKY11" s="0"/>
      <c r="AKZ11" s="0"/>
      <c r="ALA11" s="0"/>
      <c r="ALB11" s="0"/>
      <c r="ALC11" s="0"/>
      <c r="ALD11" s="0"/>
      <c r="ALE11" s="0"/>
      <c r="ALF11" s="0"/>
      <c r="ALG11" s="0"/>
      <c r="ALH11" s="0"/>
      <c r="ALI11" s="0"/>
      <c r="ALJ11" s="0"/>
      <c r="ALK11" s="0"/>
      <c r="ALL11" s="0"/>
      <c r="ALM11" s="0"/>
      <c r="ALN11" s="0"/>
      <c r="ALO11" s="0"/>
      <c r="ALP11" s="0"/>
      <c r="ALQ11" s="0"/>
      <c r="ALR11" s="0"/>
      <c r="ALS11" s="0"/>
      <c r="ALT11" s="0"/>
      <c r="ALU11" s="0"/>
      <c r="ALV11" s="0"/>
      <c r="ALW11" s="0"/>
      <c r="ALX11" s="0"/>
      <c r="ALY11" s="0"/>
      <c r="ALZ11" s="0"/>
      <c r="AMA11" s="0"/>
      <c r="AMB11" s="0"/>
      <c r="AMC11" s="0"/>
      <c r="AMD11" s="0"/>
      <c r="AME11" s="0"/>
      <c r="AMF11" s="0"/>
      <c r="AMG11" s="0"/>
      <c r="AMH11" s="0"/>
      <c r="AMI11" s="0"/>
      <c r="AMJ11" s="0"/>
    </row>
    <row r="12" s="14" customFormat="true" ht="12.8" hidden="false" customHeight="false" outlineLevel="0" collapsed="false">
      <c r="A12" s="18" t="n">
        <v>6</v>
      </c>
      <c r="B12" s="6" t="n">
        <v>1</v>
      </c>
      <c r="C12" s="7" t="b">
        <v>1</v>
      </c>
      <c r="D12" s="7" t="b">
        <v>0</v>
      </c>
      <c r="E12" s="7" t="b">
        <v>0</v>
      </c>
      <c r="F12" s="6" t="n">
        <v>40</v>
      </c>
      <c r="G12" s="6"/>
      <c r="H12" s="16" t="b">
        <v>0</v>
      </c>
      <c r="I12" s="7" t="b">
        <v>1</v>
      </c>
      <c r="J12" s="7" t="b">
        <v>0</v>
      </c>
      <c r="K12" s="7" t="b">
        <v>1</v>
      </c>
      <c r="L12" s="6" t="n">
        <v>51</v>
      </c>
      <c r="M12" s="6" t="n">
        <v>39.41727367</v>
      </c>
      <c r="N12" s="6" t="n">
        <v>0</v>
      </c>
      <c r="O12" s="7" t="b">
        <v>0</v>
      </c>
      <c r="P12" s="7" t="b">
        <v>0</v>
      </c>
      <c r="Q12" s="7" t="b">
        <v>0</v>
      </c>
      <c r="R12" s="7" t="b">
        <v>0</v>
      </c>
      <c r="S12" s="7" t="b">
        <v>1</v>
      </c>
      <c r="T12" s="7" t="b">
        <v>0</v>
      </c>
      <c r="U12" s="7" t="b">
        <v>0</v>
      </c>
      <c r="V12" s="6" t="n">
        <v>0</v>
      </c>
      <c r="W12" s="17" t="n">
        <v>16</v>
      </c>
      <c r="X12" s="6" t="n">
        <v>1</v>
      </c>
      <c r="Y12" s="6" t="n">
        <v>7.17</v>
      </c>
      <c r="Z12" s="6" t="n">
        <f aca="false">(Y12*7.5006157584566)/X12</f>
        <v>53.7794149881338</v>
      </c>
      <c r="AA12" s="6" t="n">
        <v>316</v>
      </c>
      <c r="AB12" s="6" t="n">
        <v>980</v>
      </c>
      <c r="AC12" s="6"/>
      <c r="AD12" s="6" t="n">
        <v>37.7</v>
      </c>
      <c r="AE12" s="7" t="b">
        <v>0</v>
      </c>
      <c r="AF12" s="7" t="b">
        <v>0</v>
      </c>
      <c r="AG12" s="7" t="b">
        <v>0</v>
      </c>
      <c r="AH12" s="7" t="b">
        <v>0</v>
      </c>
      <c r="AI12" s="7" t="b">
        <v>1</v>
      </c>
      <c r="AJ12" s="7" t="b">
        <v>0</v>
      </c>
      <c r="AKX12" s="0"/>
      <c r="AKY12" s="0"/>
      <c r="AKZ12" s="0"/>
      <c r="ALA12" s="0"/>
      <c r="ALB12" s="0"/>
      <c r="ALC12" s="0"/>
      <c r="ALD12" s="0"/>
      <c r="ALE12" s="0"/>
      <c r="ALF12" s="0"/>
      <c r="ALG12" s="0"/>
      <c r="ALH12" s="0"/>
      <c r="ALI12" s="0"/>
      <c r="ALJ12" s="0"/>
      <c r="ALK12" s="0"/>
      <c r="ALL12" s="0"/>
      <c r="ALM12" s="0"/>
      <c r="ALN12" s="0"/>
      <c r="ALO12" s="0"/>
      <c r="ALP12" s="0"/>
      <c r="ALQ12" s="0"/>
      <c r="ALR12" s="0"/>
      <c r="ALS12" s="0"/>
      <c r="ALT12" s="0"/>
      <c r="ALU12" s="0"/>
      <c r="ALV12" s="0"/>
      <c r="ALW12" s="0"/>
      <c r="ALX12" s="0"/>
      <c r="ALY12" s="0"/>
      <c r="ALZ12" s="0"/>
      <c r="AMA12" s="0"/>
      <c r="AMB12" s="0"/>
      <c r="AMC12" s="0"/>
      <c r="AMD12" s="0"/>
      <c r="AME12" s="0"/>
      <c r="AMF12" s="0"/>
      <c r="AMG12" s="0"/>
      <c r="AMH12" s="0"/>
      <c r="AMI12" s="0"/>
      <c r="AMJ12" s="0"/>
    </row>
    <row r="13" s="14" customFormat="true" ht="12.8" hidden="false" customHeight="false" outlineLevel="0" collapsed="false">
      <c r="A13" s="18" t="n">
        <v>7</v>
      </c>
      <c r="B13" s="6" t="n">
        <v>1</v>
      </c>
      <c r="C13" s="7" t="b">
        <v>1</v>
      </c>
      <c r="D13" s="7" t="b">
        <v>0</v>
      </c>
      <c r="E13" s="7" t="b">
        <v>0</v>
      </c>
      <c r="F13" s="6" t="n">
        <v>54</v>
      </c>
      <c r="G13" s="6"/>
      <c r="H13" s="16" t="b">
        <v>0</v>
      </c>
      <c r="I13" s="7"/>
      <c r="J13" s="7" t="b">
        <v>1</v>
      </c>
      <c r="K13" s="7" t="b">
        <v>0</v>
      </c>
      <c r="L13" s="6" t="n">
        <v>57</v>
      </c>
      <c r="M13" s="6" t="n">
        <v>22.27530992</v>
      </c>
      <c r="N13" s="6" t="n">
        <v>1</v>
      </c>
      <c r="O13" s="7" t="b">
        <v>0</v>
      </c>
      <c r="P13" s="7" t="b">
        <v>0</v>
      </c>
      <c r="Q13" s="7" t="b">
        <v>0</v>
      </c>
      <c r="R13" s="7" t="b">
        <v>0</v>
      </c>
      <c r="S13" s="7" t="b">
        <v>0</v>
      </c>
      <c r="T13" s="7" t="b">
        <v>0</v>
      </c>
      <c r="U13" s="7"/>
      <c r="V13" s="6" t="n">
        <v>0</v>
      </c>
      <c r="W13" s="17" t="n">
        <v>10</v>
      </c>
      <c r="X13" s="6" t="n">
        <v>0.6</v>
      </c>
      <c r="Y13" s="6" t="n">
        <v>6.13</v>
      </c>
      <c r="Z13" s="6" t="n">
        <f aca="false">(Y13*7.5006157584566)/X13</f>
        <v>76.6312909988983</v>
      </c>
      <c r="AA13" s="6" t="n">
        <v>345</v>
      </c>
      <c r="AB13" s="6" t="n">
        <v>1422</v>
      </c>
      <c r="AC13" s="6" t="n">
        <v>6.86</v>
      </c>
      <c r="AD13" s="6" t="n">
        <v>36.8</v>
      </c>
      <c r="AE13" s="7" t="b">
        <v>0</v>
      </c>
      <c r="AF13" s="7" t="b">
        <v>0</v>
      </c>
      <c r="AG13" s="7" t="b">
        <v>1</v>
      </c>
      <c r="AH13" s="7" t="b">
        <v>0</v>
      </c>
      <c r="AI13" s="7" t="b">
        <v>1</v>
      </c>
      <c r="AJ13" s="7" t="b">
        <v>0</v>
      </c>
      <c r="AKX13" s="0"/>
      <c r="AKY13" s="0"/>
      <c r="AKZ13" s="0"/>
      <c r="ALA13" s="0"/>
      <c r="ALB13" s="0"/>
      <c r="ALC13" s="0"/>
      <c r="ALD13" s="0"/>
      <c r="ALE13" s="0"/>
      <c r="ALF13" s="0"/>
      <c r="ALG13" s="0"/>
      <c r="ALH13" s="0"/>
      <c r="ALI13" s="0"/>
      <c r="ALJ13" s="0"/>
      <c r="ALK13" s="0"/>
      <c r="ALL13" s="0"/>
      <c r="ALM13" s="0"/>
      <c r="ALN13" s="0"/>
      <c r="ALO13" s="0"/>
      <c r="ALP13" s="0"/>
      <c r="ALQ13" s="0"/>
      <c r="ALR13" s="0"/>
      <c r="ALS13" s="0"/>
      <c r="ALT13" s="0"/>
      <c r="ALU13" s="0"/>
      <c r="ALV13" s="0"/>
      <c r="ALW13" s="0"/>
      <c r="ALX13" s="0"/>
      <c r="ALY13" s="0"/>
      <c r="ALZ13" s="0"/>
      <c r="AMA13" s="0"/>
      <c r="AMB13" s="0"/>
      <c r="AMC13" s="0"/>
      <c r="AMD13" s="0"/>
      <c r="AME13" s="0"/>
      <c r="AMF13" s="0"/>
      <c r="AMG13" s="0"/>
      <c r="AMH13" s="0"/>
      <c r="AMI13" s="0"/>
      <c r="AMJ13" s="0"/>
    </row>
    <row r="14" s="14" customFormat="true" ht="12.8" hidden="false" customHeight="false" outlineLevel="0" collapsed="false">
      <c r="A14" s="18" t="n">
        <v>8</v>
      </c>
      <c r="B14" s="6" t="n">
        <v>1</v>
      </c>
      <c r="C14" s="7" t="b">
        <v>1</v>
      </c>
      <c r="D14" s="7" t="b">
        <v>0</v>
      </c>
      <c r="E14" s="7" t="b">
        <v>0</v>
      </c>
      <c r="F14" s="6" t="n">
        <v>44</v>
      </c>
      <c r="G14" s="6"/>
      <c r="H14" s="16" t="b">
        <v>0</v>
      </c>
      <c r="I14" s="7"/>
      <c r="J14" s="7" t="b">
        <v>0</v>
      </c>
      <c r="K14" s="7" t="b">
        <v>1</v>
      </c>
      <c r="L14" s="6" t="n">
        <v>60</v>
      </c>
      <c r="M14" s="6" t="n">
        <v>35.64013841</v>
      </c>
      <c r="N14" s="6" t="n">
        <v>0</v>
      </c>
      <c r="O14" s="7" t="b">
        <v>0</v>
      </c>
      <c r="P14" s="7" t="b">
        <v>1</v>
      </c>
      <c r="Q14" s="7" t="b">
        <v>0</v>
      </c>
      <c r="R14" s="7" t="b">
        <v>0</v>
      </c>
      <c r="S14" s="7" t="b">
        <v>0</v>
      </c>
      <c r="T14" s="7" t="b">
        <v>1</v>
      </c>
      <c r="U14" s="7" t="b">
        <v>0</v>
      </c>
      <c r="V14" s="6" t="n">
        <v>0</v>
      </c>
      <c r="W14" s="17" t="n">
        <v>12</v>
      </c>
      <c r="X14" s="6" t="n">
        <v>0.5</v>
      </c>
      <c r="Y14" s="6" t="n">
        <v>7.9</v>
      </c>
      <c r="Z14" s="6" t="n">
        <f aca="false">(Y14*7.5006157584566)/X14</f>
        <v>118.509728983614</v>
      </c>
      <c r="AA14" s="6" t="n">
        <v>186</v>
      </c>
      <c r="AB14" s="6" t="n">
        <v>1631</v>
      </c>
      <c r="AC14" s="6" t="n">
        <v>4.32</v>
      </c>
      <c r="AD14" s="6" t="n">
        <v>37.8</v>
      </c>
      <c r="AE14" s="7" t="b">
        <v>1</v>
      </c>
      <c r="AF14" s="7" t="b">
        <v>1</v>
      </c>
      <c r="AG14" s="7" t="b">
        <v>0</v>
      </c>
      <c r="AH14" s="7" t="b">
        <v>0</v>
      </c>
      <c r="AI14" s="7" t="b">
        <v>1</v>
      </c>
      <c r="AJ14" s="7" t="b">
        <v>0</v>
      </c>
      <c r="AKX14" s="0"/>
      <c r="AKY14" s="0"/>
      <c r="AKZ14" s="0"/>
      <c r="ALA14" s="0"/>
      <c r="ALB14" s="0"/>
      <c r="ALC14" s="0"/>
      <c r="ALD14" s="0"/>
      <c r="ALE14" s="0"/>
      <c r="ALF14" s="0"/>
      <c r="ALG14" s="0"/>
      <c r="ALH14" s="0"/>
      <c r="ALI14" s="0"/>
      <c r="ALJ14" s="0"/>
      <c r="ALK14" s="0"/>
      <c r="ALL14" s="0"/>
      <c r="ALM14" s="0"/>
      <c r="ALN14" s="0"/>
      <c r="ALO14" s="0"/>
      <c r="ALP14" s="0"/>
      <c r="ALQ14" s="0"/>
      <c r="ALR14" s="0"/>
      <c r="ALS14" s="0"/>
      <c r="ALT14" s="0"/>
      <c r="ALU14" s="0"/>
      <c r="ALV14" s="0"/>
      <c r="ALW14" s="0"/>
      <c r="ALX14" s="0"/>
      <c r="ALY14" s="0"/>
      <c r="ALZ14" s="0"/>
      <c r="AMA14" s="0"/>
      <c r="AMB14" s="0"/>
      <c r="AMC14" s="0"/>
      <c r="AMD14" s="0"/>
      <c r="AME14" s="0"/>
      <c r="AMF14" s="0"/>
      <c r="AMG14" s="0"/>
      <c r="AMH14" s="0"/>
      <c r="AMI14" s="0"/>
      <c r="AMJ14" s="0"/>
    </row>
    <row r="15" s="14" customFormat="true" ht="12.8" hidden="false" customHeight="false" outlineLevel="0" collapsed="false">
      <c r="A15" s="18" t="n">
        <v>9</v>
      </c>
      <c r="B15" s="6" t="n">
        <v>1</v>
      </c>
      <c r="C15" s="7" t="b">
        <v>1</v>
      </c>
      <c r="D15" s="7" t="b">
        <v>0</v>
      </c>
      <c r="E15" s="7" t="b">
        <v>0</v>
      </c>
      <c r="F15" s="6" t="n">
        <v>51</v>
      </c>
      <c r="G15" s="6"/>
      <c r="H15" s="16" t="b">
        <v>1</v>
      </c>
      <c r="I15" s="7"/>
      <c r="J15" s="7" t="b">
        <v>0</v>
      </c>
      <c r="K15" s="7" t="b">
        <v>0</v>
      </c>
      <c r="L15" s="6" t="n">
        <v>49</v>
      </c>
      <c r="M15" s="6" t="n">
        <v>27.16049383</v>
      </c>
      <c r="N15" s="6" t="n">
        <v>0</v>
      </c>
      <c r="O15" s="7" t="b">
        <v>0</v>
      </c>
      <c r="P15" s="7" t="b">
        <v>1</v>
      </c>
      <c r="Q15" s="7" t="b">
        <v>0</v>
      </c>
      <c r="R15" s="7" t="b">
        <v>0</v>
      </c>
      <c r="S15" s="7" t="b">
        <v>0</v>
      </c>
      <c r="T15" s="7" t="b">
        <v>1</v>
      </c>
      <c r="U15" s="7"/>
      <c r="V15" s="6" t="n">
        <v>0</v>
      </c>
      <c r="W15" s="17" t="n">
        <v>14</v>
      </c>
      <c r="X15" s="6" t="n">
        <v>0.55</v>
      </c>
      <c r="Y15" s="6" t="n">
        <v>8.7</v>
      </c>
      <c r="Z15" s="6" t="n">
        <f aca="false">(Y15*7.5006157584566)/X15</f>
        <v>118.646103815586</v>
      </c>
      <c r="AA15" s="6" t="n">
        <v>126</v>
      </c>
      <c r="AB15" s="6" t="n">
        <v>635</v>
      </c>
      <c r="AC15" s="6" t="n">
        <v>4.14</v>
      </c>
      <c r="AD15" s="6" t="n">
        <v>37.5</v>
      </c>
      <c r="AE15" s="7" t="b">
        <v>1</v>
      </c>
      <c r="AF15" s="7" t="b">
        <v>1</v>
      </c>
      <c r="AG15" s="7" t="b">
        <v>0</v>
      </c>
      <c r="AH15" s="7" t="b">
        <v>0</v>
      </c>
      <c r="AI15" s="7" t="b">
        <v>0</v>
      </c>
      <c r="AJ15" s="7" t="b">
        <v>0</v>
      </c>
      <c r="AKX15" s="0"/>
      <c r="AKY15" s="0"/>
      <c r="AKZ15" s="0"/>
      <c r="ALA15" s="0"/>
      <c r="ALB15" s="0"/>
      <c r="ALC15" s="0"/>
      <c r="ALD15" s="0"/>
      <c r="ALE15" s="0"/>
      <c r="ALF15" s="0"/>
      <c r="ALG15" s="0"/>
      <c r="ALH15" s="0"/>
      <c r="ALI15" s="0"/>
      <c r="ALJ15" s="0"/>
      <c r="ALK15" s="0"/>
      <c r="ALL15" s="0"/>
      <c r="ALM15" s="0"/>
      <c r="ALN15" s="0"/>
      <c r="ALO15" s="0"/>
      <c r="ALP15" s="0"/>
      <c r="ALQ15" s="0"/>
      <c r="ALR15" s="0"/>
      <c r="ALS15" s="0"/>
      <c r="ALT15" s="0"/>
      <c r="ALU15" s="0"/>
      <c r="ALV15" s="0"/>
      <c r="ALW15" s="0"/>
      <c r="ALX15" s="0"/>
      <c r="ALY15" s="0"/>
      <c r="ALZ15" s="0"/>
      <c r="AMA15" s="0"/>
      <c r="AMB15" s="0"/>
      <c r="AMC15" s="0"/>
      <c r="AMD15" s="0"/>
      <c r="AME15" s="0"/>
      <c r="AMF15" s="0"/>
      <c r="AMG15" s="0"/>
      <c r="AMH15" s="0"/>
      <c r="AMI15" s="0"/>
      <c r="AMJ15" s="0"/>
    </row>
    <row r="16" s="14" customFormat="true" ht="12.8" hidden="false" customHeight="false" outlineLevel="0" collapsed="false">
      <c r="A16" s="18" t="n">
        <v>10</v>
      </c>
      <c r="B16" s="6" t="n">
        <v>1</v>
      </c>
      <c r="C16" s="7" t="b">
        <v>1</v>
      </c>
      <c r="D16" s="7" t="b">
        <v>0</v>
      </c>
      <c r="E16" s="7" t="b">
        <v>0</v>
      </c>
      <c r="F16" s="6" t="n">
        <v>56</v>
      </c>
      <c r="G16" s="6"/>
      <c r="H16" s="16" t="b">
        <v>0</v>
      </c>
      <c r="I16" s="7"/>
      <c r="J16" s="7" t="b">
        <v>0</v>
      </c>
      <c r="K16" s="7" t="b">
        <v>0</v>
      </c>
      <c r="L16" s="6" t="n">
        <v>49</v>
      </c>
      <c r="M16" s="6" t="n">
        <v>29.03673779</v>
      </c>
      <c r="N16" s="6" t="n">
        <v>0</v>
      </c>
      <c r="O16" s="7" t="b">
        <v>0</v>
      </c>
      <c r="P16" s="7" t="b">
        <v>0</v>
      </c>
      <c r="Q16" s="7" t="b">
        <v>0</v>
      </c>
      <c r="R16" s="7" t="b">
        <v>0</v>
      </c>
      <c r="S16" s="7" t="b">
        <v>1</v>
      </c>
      <c r="T16" s="7" t="b">
        <v>0</v>
      </c>
      <c r="U16" s="7"/>
      <c r="V16" s="6" t="n">
        <v>0</v>
      </c>
      <c r="W16" s="17" t="n">
        <v>6</v>
      </c>
      <c r="X16" s="6" t="n">
        <v>0.4</v>
      </c>
      <c r="Y16" s="6" t="n">
        <v>9.17</v>
      </c>
      <c r="Z16" s="6" t="n">
        <f aca="false">(Y16*7.5006157584566)/X16</f>
        <v>171.951616262618</v>
      </c>
      <c r="AA16" s="6" t="n">
        <v>122</v>
      </c>
      <c r="AB16" s="6" t="n">
        <v>3646</v>
      </c>
      <c r="AC16" s="6" t="n">
        <v>1.89</v>
      </c>
      <c r="AD16" s="6" t="n">
        <v>39.1</v>
      </c>
      <c r="AE16" s="7" t="b">
        <v>1</v>
      </c>
      <c r="AF16" s="7" t="b">
        <v>0</v>
      </c>
      <c r="AG16" s="7" t="b">
        <v>0</v>
      </c>
      <c r="AH16" s="7" t="b">
        <v>1</v>
      </c>
      <c r="AI16" s="7" t="b">
        <v>1</v>
      </c>
      <c r="AJ16" s="7" t="b">
        <v>0</v>
      </c>
      <c r="AKX16" s="0"/>
      <c r="AKY16" s="0"/>
      <c r="AKZ16" s="0"/>
      <c r="ALA16" s="0"/>
      <c r="ALB16" s="0"/>
      <c r="ALC16" s="0"/>
      <c r="ALD16" s="0"/>
      <c r="ALE16" s="0"/>
      <c r="ALF16" s="0"/>
      <c r="ALG16" s="0"/>
      <c r="ALH16" s="0"/>
      <c r="ALI16" s="0"/>
      <c r="ALJ16" s="0"/>
      <c r="ALK16" s="0"/>
      <c r="ALL16" s="0"/>
      <c r="ALM16" s="0"/>
      <c r="ALN16" s="0"/>
      <c r="ALO16" s="0"/>
      <c r="ALP16" s="0"/>
      <c r="ALQ16" s="0"/>
      <c r="ALR16" s="0"/>
      <c r="ALS16" s="0"/>
      <c r="ALT16" s="0"/>
      <c r="ALU16" s="0"/>
      <c r="ALV16" s="0"/>
      <c r="ALW16" s="0"/>
      <c r="ALX16" s="0"/>
      <c r="ALY16" s="0"/>
      <c r="ALZ16" s="0"/>
      <c r="AMA16" s="0"/>
      <c r="AMB16" s="0"/>
      <c r="AMC16" s="0"/>
      <c r="AMD16" s="0"/>
      <c r="AME16" s="0"/>
      <c r="AMF16" s="0"/>
      <c r="AMG16" s="0"/>
      <c r="AMH16" s="0"/>
      <c r="AMI16" s="0"/>
      <c r="AMJ16" s="0"/>
    </row>
    <row r="17" s="14" customFormat="true" ht="12.8" hidden="false" customHeight="false" outlineLevel="0" collapsed="false">
      <c r="A17" s="18" t="n">
        <v>11</v>
      </c>
      <c r="B17" s="6" t="n">
        <v>1</v>
      </c>
      <c r="C17" s="7" t="b">
        <v>1</v>
      </c>
      <c r="D17" s="7" t="b">
        <v>0</v>
      </c>
      <c r="E17" s="7" t="b">
        <v>0</v>
      </c>
      <c r="F17" s="6" t="n">
        <v>47</v>
      </c>
      <c r="G17" s="6"/>
      <c r="H17" s="16" t="b">
        <v>0</v>
      </c>
      <c r="I17" s="7" t="b">
        <v>1</v>
      </c>
      <c r="J17" s="7" t="b">
        <v>0</v>
      </c>
      <c r="K17" s="7" t="b">
        <v>0</v>
      </c>
      <c r="L17" s="6" t="n">
        <v>26</v>
      </c>
      <c r="M17" s="6" t="n">
        <v>31.39717425</v>
      </c>
      <c r="N17" s="6" t="n">
        <v>2</v>
      </c>
      <c r="O17" s="7" t="b">
        <v>0</v>
      </c>
      <c r="P17" s="7" t="b">
        <v>0</v>
      </c>
      <c r="Q17" s="7" t="b">
        <v>0</v>
      </c>
      <c r="R17" s="7" t="b">
        <v>0</v>
      </c>
      <c r="S17" s="7" t="b">
        <v>0</v>
      </c>
      <c r="T17" s="7" t="b">
        <v>0</v>
      </c>
      <c r="U17" s="7"/>
      <c r="V17" s="6" t="n">
        <v>0</v>
      </c>
      <c r="W17" s="17" t="n">
        <v>10</v>
      </c>
      <c r="X17" s="6" t="n">
        <v>0.4</v>
      </c>
      <c r="Y17" s="6" t="n">
        <v>12.27</v>
      </c>
      <c r="Z17" s="6" t="n">
        <f aca="false">(Y17*7.5006157584566)/X17</f>
        <v>230.081388390656</v>
      </c>
      <c r="AA17" s="6" t="n">
        <v>88</v>
      </c>
      <c r="AB17" s="6" t="n">
        <v>2164</v>
      </c>
      <c r="AC17" s="6" t="n">
        <v>6.74</v>
      </c>
      <c r="AD17" s="6" t="n">
        <v>37.5</v>
      </c>
      <c r="AE17" s="7" t="b">
        <v>0</v>
      </c>
      <c r="AF17" s="7" t="b">
        <v>1</v>
      </c>
      <c r="AG17" s="7" t="b">
        <v>0</v>
      </c>
      <c r="AH17" s="7" t="b">
        <v>0</v>
      </c>
      <c r="AI17" s="7" t="b">
        <v>1</v>
      </c>
      <c r="AJ17" s="7" t="b">
        <v>0</v>
      </c>
      <c r="AKX17" s="0"/>
      <c r="AKY17" s="0"/>
      <c r="AKZ17" s="0"/>
      <c r="ALA17" s="0"/>
      <c r="ALB17" s="0"/>
      <c r="ALC17" s="0"/>
      <c r="ALD17" s="0"/>
      <c r="ALE17" s="0"/>
      <c r="ALF17" s="0"/>
      <c r="ALG17" s="0"/>
      <c r="ALH17" s="0"/>
      <c r="ALI17" s="0"/>
      <c r="ALJ17" s="0"/>
      <c r="ALK17" s="0"/>
      <c r="ALL17" s="0"/>
      <c r="ALM17" s="0"/>
      <c r="ALN17" s="0"/>
      <c r="ALO17" s="0"/>
      <c r="ALP17" s="0"/>
      <c r="ALQ17" s="0"/>
      <c r="ALR17" s="0"/>
      <c r="ALS17" s="0"/>
      <c r="ALT17" s="0"/>
      <c r="ALU17" s="0"/>
      <c r="ALV17" s="0"/>
      <c r="ALW17" s="0"/>
      <c r="ALX17" s="0"/>
      <c r="ALY17" s="0"/>
      <c r="ALZ17" s="0"/>
      <c r="AMA17" s="0"/>
      <c r="AMB17" s="0"/>
      <c r="AMC17" s="0"/>
      <c r="AMD17" s="0"/>
      <c r="AME17" s="0"/>
      <c r="AMF17" s="0"/>
      <c r="AMG17" s="0"/>
      <c r="AMH17" s="0"/>
      <c r="AMI17" s="0"/>
      <c r="AMJ17" s="0"/>
    </row>
    <row r="18" s="14" customFormat="true" ht="12.8" hidden="false" customHeight="false" outlineLevel="0" collapsed="false">
      <c r="A18" s="18" t="n">
        <v>12</v>
      </c>
      <c r="B18" s="6" t="n">
        <v>1</v>
      </c>
      <c r="C18" s="7" t="b">
        <v>1</v>
      </c>
      <c r="D18" s="7" t="b">
        <v>0</v>
      </c>
      <c r="E18" s="7" t="b">
        <v>0</v>
      </c>
      <c r="F18" s="6" t="n">
        <v>46</v>
      </c>
      <c r="G18" s="6"/>
      <c r="H18" s="16" t="b">
        <v>0</v>
      </c>
      <c r="I18" s="7" t="b">
        <v>0</v>
      </c>
      <c r="J18" s="7" t="b">
        <v>0</v>
      </c>
      <c r="K18" s="7" t="b">
        <v>0</v>
      </c>
      <c r="L18" s="6" t="n">
        <v>22</v>
      </c>
      <c r="M18" s="6" t="n">
        <v>43.52941176</v>
      </c>
      <c r="N18" s="6" t="n">
        <v>3</v>
      </c>
      <c r="O18" s="7" t="b">
        <v>1</v>
      </c>
      <c r="P18" s="7" t="b">
        <v>0</v>
      </c>
      <c r="Q18" s="7" t="b">
        <v>0</v>
      </c>
      <c r="R18" s="7" t="b">
        <v>0</v>
      </c>
      <c r="S18" s="7" t="b">
        <v>0</v>
      </c>
      <c r="T18" s="7" t="b">
        <v>0</v>
      </c>
      <c r="U18" s="7"/>
      <c r="V18" s="6" t="n">
        <v>0</v>
      </c>
      <c r="W18" s="17" t="n">
        <v>10</v>
      </c>
      <c r="X18" s="6" t="n">
        <v>0.45</v>
      </c>
      <c r="Y18" s="6" t="n">
        <v>9.56</v>
      </c>
      <c r="Z18" s="6" t="n">
        <f aca="false">(Y18*7.5006157584566)/X18</f>
        <v>159.346414779656</v>
      </c>
      <c r="AA18" s="6" t="n">
        <v>110</v>
      </c>
      <c r="AB18" s="6" t="n">
        <v>429</v>
      </c>
      <c r="AC18" s="6" t="n">
        <v>2.43</v>
      </c>
      <c r="AD18" s="6" t="n">
        <v>40.6</v>
      </c>
      <c r="AE18" s="7" t="b">
        <v>0</v>
      </c>
      <c r="AF18" s="7" t="b">
        <v>0</v>
      </c>
      <c r="AG18" s="7" t="b">
        <v>0</v>
      </c>
      <c r="AH18" s="7" t="b">
        <v>0</v>
      </c>
      <c r="AI18" s="7" t="b">
        <v>1</v>
      </c>
      <c r="AJ18" s="7" t="b">
        <v>0</v>
      </c>
      <c r="AKX18" s="0"/>
      <c r="AKY18" s="0"/>
      <c r="AKZ18" s="0"/>
      <c r="ALA18" s="0"/>
      <c r="ALB18" s="0"/>
      <c r="ALC18" s="0"/>
      <c r="ALD18" s="0"/>
      <c r="ALE18" s="0"/>
      <c r="ALF18" s="0"/>
      <c r="ALG18" s="0"/>
      <c r="ALH18" s="0"/>
      <c r="ALI18" s="0"/>
      <c r="ALJ18" s="0"/>
      <c r="ALK18" s="0"/>
      <c r="ALL18" s="0"/>
      <c r="ALM18" s="0"/>
      <c r="ALN18" s="0"/>
      <c r="ALO18" s="0"/>
      <c r="ALP18" s="0"/>
      <c r="ALQ18" s="0"/>
      <c r="ALR18" s="0"/>
      <c r="ALS18" s="0"/>
      <c r="ALT18" s="0"/>
      <c r="ALU18" s="0"/>
      <c r="ALV18" s="0"/>
      <c r="ALW18" s="0"/>
      <c r="ALX18" s="0"/>
      <c r="ALY18" s="0"/>
      <c r="ALZ18" s="0"/>
      <c r="AMA18" s="0"/>
      <c r="AMB18" s="0"/>
      <c r="AMC18" s="0"/>
      <c r="AMD18" s="0"/>
      <c r="AME18" s="0"/>
      <c r="AMF18" s="0"/>
      <c r="AMG18" s="0"/>
      <c r="AMH18" s="0"/>
      <c r="AMI18" s="0"/>
      <c r="AMJ18" s="0"/>
    </row>
    <row r="19" s="14" customFormat="true" ht="12.8" hidden="false" customHeight="false" outlineLevel="0" collapsed="false">
      <c r="A19" s="18" t="n">
        <v>13</v>
      </c>
      <c r="B19" s="6" t="n">
        <v>1</v>
      </c>
      <c r="C19" s="7" t="b">
        <v>1</v>
      </c>
      <c r="D19" s="7" t="b">
        <v>0</v>
      </c>
      <c r="E19" s="7" t="b">
        <v>0</v>
      </c>
      <c r="F19" s="6" t="n">
        <v>48</v>
      </c>
      <c r="G19" s="6"/>
      <c r="H19" s="16" t="b">
        <v>1</v>
      </c>
      <c r="I19" s="7" t="b">
        <v>0</v>
      </c>
      <c r="J19" s="7" t="b">
        <v>0</v>
      </c>
      <c r="K19" s="7" t="b">
        <v>0</v>
      </c>
      <c r="L19" s="6" t="n">
        <v>57</v>
      </c>
      <c r="M19" s="6" t="n">
        <v>30.07116843</v>
      </c>
      <c r="N19" s="6" t="n">
        <v>2</v>
      </c>
      <c r="O19" s="7" t="b">
        <v>1</v>
      </c>
      <c r="P19" s="7" t="b">
        <v>1</v>
      </c>
      <c r="Q19" s="7" t="b">
        <v>0</v>
      </c>
      <c r="R19" s="7" t="b">
        <v>0</v>
      </c>
      <c r="S19" s="7" t="b">
        <v>0</v>
      </c>
      <c r="T19" s="7" t="b">
        <v>1</v>
      </c>
      <c r="U19" s="7"/>
      <c r="V19" s="6" t="n">
        <v>0</v>
      </c>
      <c r="W19" s="17" t="n">
        <v>8</v>
      </c>
      <c r="X19" s="6" t="n">
        <v>0.7</v>
      </c>
      <c r="Y19" s="6" t="n">
        <v>8.47</v>
      </c>
      <c r="Z19" s="6" t="n">
        <f aca="false">(Y19*7.5006157584566)/X19</f>
        <v>90.7574506773249</v>
      </c>
      <c r="AA19" s="6" t="n">
        <v>121</v>
      </c>
      <c r="AB19" s="6" t="n">
        <v>363</v>
      </c>
      <c r="AC19" s="6"/>
      <c r="AD19" s="6" t="n">
        <v>38.8</v>
      </c>
      <c r="AE19" s="7" t="b">
        <v>0</v>
      </c>
      <c r="AF19" s="7" t="b">
        <v>0</v>
      </c>
      <c r="AG19" s="7" t="b">
        <v>0</v>
      </c>
      <c r="AH19" s="7" t="b">
        <v>0</v>
      </c>
      <c r="AI19" s="7" t="b">
        <v>1</v>
      </c>
      <c r="AJ19" s="7" t="b">
        <v>0</v>
      </c>
      <c r="AKX19" s="0"/>
      <c r="AKY19" s="0"/>
      <c r="AKZ19" s="0"/>
      <c r="ALA19" s="0"/>
      <c r="ALB19" s="0"/>
      <c r="ALC19" s="0"/>
      <c r="ALD19" s="0"/>
      <c r="ALE19" s="0"/>
      <c r="ALF19" s="0"/>
      <c r="ALG19" s="0"/>
      <c r="ALH19" s="0"/>
      <c r="ALI19" s="0"/>
      <c r="ALJ19" s="0"/>
      <c r="ALK19" s="0"/>
      <c r="ALL19" s="0"/>
      <c r="ALM19" s="0"/>
      <c r="ALN19" s="0"/>
      <c r="ALO19" s="0"/>
      <c r="ALP19" s="0"/>
      <c r="ALQ19" s="0"/>
      <c r="ALR19" s="0"/>
      <c r="ALS19" s="0"/>
      <c r="ALT19" s="0"/>
      <c r="ALU19" s="0"/>
      <c r="ALV19" s="0"/>
      <c r="ALW19" s="0"/>
      <c r="ALX19" s="0"/>
      <c r="ALY19" s="0"/>
      <c r="ALZ19" s="0"/>
      <c r="AMA19" s="0"/>
      <c r="AMB19" s="0"/>
      <c r="AMC19" s="0"/>
      <c r="AMD19" s="0"/>
      <c r="AME19" s="0"/>
      <c r="AMF19" s="0"/>
      <c r="AMG19" s="0"/>
      <c r="AMH19" s="0"/>
      <c r="AMI19" s="0"/>
      <c r="AMJ19" s="0"/>
    </row>
    <row r="20" s="14" customFormat="true" ht="12.8" hidden="false" customHeight="false" outlineLevel="0" collapsed="false">
      <c r="A20" s="18" t="n">
        <v>14</v>
      </c>
      <c r="B20" s="6" t="n">
        <v>1</v>
      </c>
      <c r="C20" s="7" t="b">
        <v>1</v>
      </c>
      <c r="D20" s="7" t="b">
        <v>0</v>
      </c>
      <c r="E20" s="7" t="b">
        <v>0</v>
      </c>
      <c r="F20" s="6" t="n">
        <v>55</v>
      </c>
      <c r="G20" s="6"/>
      <c r="H20" s="16" t="b">
        <v>0</v>
      </c>
      <c r="I20" s="7" t="b">
        <v>1</v>
      </c>
      <c r="J20" s="7" t="b">
        <v>1</v>
      </c>
      <c r="K20" s="7" t="b">
        <v>0</v>
      </c>
      <c r="L20" s="6" t="n">
        <v>50</v>
      </c>
      <c r="M20" s="6" t="n">
        <v>22.35371466</v>
      </c>
      <c r="N20" s="6" t="n">
        <v>4</v>
      </c>
      <c r="O20" s="7" t="b">
        <v>0</v>
      </c>
      <c r="P20" s="7" t="b">
        <v>0</v>
      </c>
      <c r="Q20" s="7" t="b">
        <v>0</v>
      </c>
      <c r="R20" s="7" t="b">
        <v>0</v>
      </c>
      <c r="S20" s="7" t="b">
        <v>0</v>
      </c>
      <c r="T20" s="7" t="b">
        <v>0</v>
      </c>
      <c r="U20" s="7"/>
      <c r="V20" s="6" t="n">
        <v>0</v>
      </c>
      <c r="W20" s="17"/>
      <c r="X20" s="6" t="n">
        <v>0.65</v>
      </c>
      <c r="Y20" s="6" t="n">
        <v>7.5</v>
      </c>
      <c r="Z20" s="6" t="n">
        <f aca="false">(Y20*7.5006157584566)/X20</f>
        <v>86.54556644373</v>
      </c>
      <c r="AA20" s="6" t="n">
        <v>213</v>
      </c>
      <c r="AB20" s="6" t="n">
        <v>1747</v>
      </c>
      <c r="AC20" s="6"/>
      <c r="AD20" s="6" t="n">
        <v>37.5</v>
      </c>
      <c r="AE20" s="7" t="b">
        <v>1</v>
      </c>
      <c r="AF20" s="7" t="b">
        <v>1</v>
      </c>
      <c r="AG20" s="7" t="b">
        <v>0</v>
      </c>
      <c r="AH20" s="7" t="b">
        <v>1</v>
      </c>
      <c r="AI20" s="7" t="b">
        <v>1</v>
      </c>
      <c r="AJ20" s="7" t="b">
        <v>0</v>
      </c>
      <c r="AKX20" s="0"/>
      <c r="AKY20" s="0"/>
      <c r="AKZ20" s="0"/>
      <c r="ALA20" s="0"/>
      <c r="ALB20" s="0"/>
      <c r="ALC20" s="0"/>
      <c r="ALD20" s="0"/>
      <c r="ALE20" s="0"/>
      <c r="ALF20" s="0"/>
      <c r="ALG20" s="0"/>
      <c r="ALH20" s="0"/>
      <c r="ALI20" s="0"/>
      <c r="ALJ20" s="0"/>
      <c r="ALK20" s="0"/>
      <c r="ALL20" s="0"/>
      <c r="ALM20" s="0"/>
      <c r="ALN20" s="0"/>
      <c r="ALO20" s="0"/>
      <c r="ALP20" s="0"/>
      <c r="ALQ20" s="0"/>
      <c r="ALR20" s="0"/>
      <c r="ALS20" s="0"/>
      <c r="ALT20" s="0"/>
      <c r="ALU20" s="0"/>
      <c r="ALV20" s="0"/>
      <c r="ALW20" s="0"/>
      <c r="ALX20" s="0"/>
      <c r="ALY20" s="0"/>
      <c r="ALZ20" s="0"/>
      <c r="AMA20" s="0"/>
      <c r="AMB20" s="0"/>
      <c r="AMC20" s="0"/>
      <c r="AMD20" s="0"/>
      <c r="AME20" s="0"/>
      <c r="AMF20" s="0"/>
      <c r="AMG20" s="0"/>
      <c r="AMH20" s="0"/>
      <c r="AMI20" s="0"/>
      <c r="AMJ20" s="0"/>
    </row>
    <row r="21" s="14" customFormat="true" ht="12.8" hidden="false" customHeight="false" outlineLevel="0" collapsed="false">
      <c r="A21" s="18" t="n">
        <v>15</v>
      </c>
      <c r="B21" s="6" t="n">
        <v>1</v>
      </c>
      <c r="C21" s="7" t="b">
        <v>1</v>
      </c>
      <c r="D21" s="7" t="b">
        <v>0</v>
      </c>
      <c r="E21" s="7" t="b">
        <v>0</v>
      </c>
      <c r="F21" s="6" t="n">
        <v>55</v>
      </c>
      <c r="G21" s="6"/>
      <c r="H21" s="16" t="b">
        <v>1</v>
      </c>
      <c r="I21" s="7" t="b">
        <v>0</v>
      </c>
      <c r="J21" s="7" t="b">
        <v>0</v>
      </c>
      <c r="K21" s="7" t="b">
        <v>0</v>
      </c>
      <c r="L21" s="6" t="n">
        <v>60</v>
      </c>
      <c r="M21" s="6" t="n">
        <v>26.12244898</v>
      </c>
      <c r="N21" s="6" t="n">
        <v>0</v>
      </c>
      <c r="O21" s="7" t="b">
        <v>1</v>
      </c>
      <c r="P21" s="7" t="b">
        <v>0</v>
      </c>
      <c r="Q21" s="7" t="b">
        <v>0</v>
      </c>
      <c r="R21" s="7" t="b">
        <v>0</v>
      </c>
      <c r="S21" s="7" t="b">
        <v>0</v>
      </c>
      <c r="T21" s="7" t="b">
        <v>0</v>
      </c>
      <c r="U21" s="7" t="b">
        <v>0</v>
      </c>
      <c r="V21" s="6" t="n">
        <v>0</v>
      </c>
      <c r="W21" s="17" t="n">
        <v>12</v>
      </c>
      <c r="X21" s="6" t="n">
        <v>0.8</v>
      </c>
      <c r="Y21" s="6" t="n">
        <v>6.12</v>
      </c>
      <c r="Z21" s="6" t="n">
        <f aca="false">(Y21*7.5006157584566)/X21</f>
        <v>57.379710552193</v>
      </c>
      <c r="AA21" s="6" t="n">
        <v>161</v>
      </c>
      <c r="AB21" s="6" t="n">
        <v>1233</v>
      </c>
      <c r="AC21" s="6"/>
      <c r="AD21" s="6" t="n">
        <v>37.1</v>
      </c>
      <c r="AE21" s="7" t="b">
        <v>1</v>
      </c>
      <c r="AF21" s="7" t="b">
        <v>1</v>
      </c>
      <c r="AG21" s="7" t="b">
        <v>0</v>
      </c>
      <c r="AH21" s="7" t="b">
        <v>0</v>
      </c>
      <c r="AI21" s="7" t="b">
        <v>1</v>
      </c>
      <c r="AJ21" s="7" t="b">
        <v>0</v>
      </c>
      <c r="AKX21" s="0"/>
      <c r="AKY21" s="0"/>
      <c r="AKZ21" s="0"/>
      <c r="ALA21" s="0"/>
      <c r="ALB21" s="0"/>
      <c r="ALC21" s="0"/>
      <c r="ALD21" s="0"/>
      <c r="ALE21" s="0"/>
      <c r="ALF21" s="0"/>
      <c r="ALG21" s="0"/>
      <c r="ALH21" s="0"/>
      <c r="ALI21" s="0"/>
      <c r="ALJ21" s="0"/>
      <c r="ALK21" s="0"/>
      <c r="ALL21" s="0"/>
      <c r="ALM21" s="0"/>
      <c r="ALN21" s="0"/>
      <c r="ALO21" s="0"/>
      <c r="ALP21" s="0"/>
      <c r="ALQ21" s="0"/>
      <c r="ALR21" s="0"/>
      <c r="ALS21" s="0"/>
      <c r="ALT21" s="0"/>
      <c r="ALU21" s="0"/>
      <c r="ALV21" s="0"/>
      <c r="ALW21" s="0"/>
      <c r="ALX21" s="0"/>
      <c r="ALY21" s="0"/>
      <c r="ALZ21" s="0"/>
      <c r="AMA21" s="0"/>
      <c r="AMB21" s="0"/>
      <c r="AMC21" s="0"/>
      <c r="AMD21" s="0"/>
      <c r="AME21" s="0"/>
      <c r="AMF21" s="0"/>
      <c r="AMG21" s="0"/>
      <c r="AMH21" s="0"/>
      <c r="AMI21" s="0"/>
      <c r="AMJ21" s="0"/>
    </row>
    <row r="22" s="14" customFormat="true" ht="12.8" hidden="false" customHeight="false" outlineLevel="0" collapsed="false">
      <c r="A22" s="18" t="n">
        <v>16</v>
      </c>
      <c r="B22" s="6" t="n">
        <v>1</v>
      </c>
      <c r="C22" s="7" t="b">
        <v>1</v>
      </c>
      <c r="D22" s="7" t="b">
        <v>0</v>
      </c>
      <c r="E22" s="7" t="b">
        <v>0</v>
      </c>
      <c r="F22" s="6" t="n">
        <v>39</v>
      </c>
      <c r="G22" s="6"/>
      <c r="H22" s="16" t="b">
        <v>0</v>
      </c>
      <c r="I22" s="7" t="b">
        <v>1</v>
      </c>
      <c r="J22" s="7" t="b">
        <v>0</v>
      </c>
      <c r="K22" s="7" t="b">
        <v>0</v>
      </c>
      <c r="L22" s="6" t="n">
        <v>65</v>
      </c>
      <c r="M22" s="6" t="n">
        <v>38.73966942</v>
      </c>
      <c r="N22" s="6" t="n">
        <v>0</v>
      </c>
      <c r="O22" s="7" t="b">
        <v>1</v>
      </c>
      <c r="P22" s="7" t="b">
        <v>1</v>
      </c>
      <c r="Q22" s="7" t="b">
        <v>0</v>
      </c>
      <c r="R22" s="7" t="b">
        <v>0</v>
      </c>
      <c r="S22" s="7" t="b">
        <v>0</v>
      </c>
      <c r="T22" s="7" t="b">
        <v>1</v>
      </c>
      <c r="U22" s="7" t="b">
        <v>0</v>
      </c>
      <c r="V22" s="6" t="n">
        <v>0</v>
      </c>
      <c r="W22" s="17" t="n">
        <v>12</v>
      </c>
      <c r="X22" s="6" t="n">
        <v>0.45</v>
      </c>
      <c r="Y22" s="6" t="n">
        <v>7.69</v>
      </c>
      <c r="Z22" s="6" t="n">
        <f aca="false">(Y22*7.5006157584566)/X22</f>
        <v>128.177189294514</v>
      </c>
      <c r="AA22" s="6" t="n">
        <v>65</v>
      </c>
      <c r="AB22" s="6"/>
      <c r="AC22" s="6" t="n">
        <v>5.59</v>
      </c>
      <c r="AD22" s="6" t="n">
        <v>37.7</v>
      </c>
      <c r="AE22" s="7" t="b">
        <v>1</v>
      </c>
      <c r="AF22" s="7" t="b">
        <v>0</v>
      </c>
      <c r="AG22" s="7" t="b">
        <v>0</v>
      </c>
      <c r="AH22" s="7" t="b">
        <v>0</v>
      </c>
      <c r="AI22" s="7" t="b">
        <v>1</v>
      </c>
      <c r="AJ22" s="7" t="b">
        <v>0</v>
      </c>
      <c r="AKX22" s="0"/>
      <c r="AKY22" s="0"/>
      <c r="AKZ22" s="0"/>
      <c r="ALA22" s="0"/>
      <c r="ALB22" s="0"/>
      <c r="ALC22" s="0"/>
      <c r="ALD22" s="0"/>
      <c r="ALE22" s="0"/>
      <c r="ALF22" s="0"/>
      <c r="ALG22" s="0"/>
      <c r="ALH22" s="0"/>
      <c r="ALI22" s="0"/>
      <c r="ALJ22" s="0"/>
      <c r="ALK22" s="0"/>
      <c r="ALL22" s="0"/>
      <c r="ALM22" s="0"/>
      <c r="ALN22" s="0"/>
      <c r="ALO22" s="0"/>
      <c r="ALP22" s="0"/>
      <c r="ALQ22" s="0"/>
      <c r="ALR22" s="0"/>
      <c r="ALS22" s="0"/>
      <c r="ALT22" s="0"/>
      <c r="ALU22" s="0"/>
      <c r="ALV22" s="0"/>
      <c r="ALW22" s="0"/>
      <c r="ALX22" s="0"/>
      <c r="ALY22" s="0"/>
      <c r="ALZ22" s="0"/>
      <c r="AMA22" s="0"/>
      <c r="AMB22" s="0"/>
      <c r="AMC22" s="0"/>
      <c r="AMD22" s="0"/>
      <c r="AME22" s="0"/>
      <c r="AMF22" s="0"/>
      <c r="AMG22" s="0"/>
      <c r="AMH22" s="0"/>
      <c r="AMI22" s="0"/>
      <c r="AMJ22" s="0"/>
    </row>
    <row r="23" s="14" customFormat="true" ht="12.8" hidden="false" customHeight="false" outlineLevel="0" collapsed="false">
      <c r="A23" s="18" t="n">
        <v>17</v>
      </c>
      <c r="B23" s="6" t="n">
        <v>1</v>
      </c>
      <c r="C23" s="7" t="b">
        <v>1</v>
      </c>
      <c r="D23" s="7" t="b">
        <v>0</v>
      </c>
      <c r="E23" s="7" t="b">
        <v>0</v>
      </c>
      <c r="F23" s="6" t="n">
        <v>48</v>
      </c>
      <c r="G23" s="6"/>
      <c r="H23" s="16" t="b">
        <v>1</v>
      </c>
      <c r="I23" s="7" t="b">
        <v>1</v>
      </c>
      <c r="J23" s="7" t="b">
        <v>1</v>
      </c>
      <c r="K23" s="7" t="b">
        <v>0</v>
      </c>
      <c r="L23" s="6" t="n">
        <v>41</v>
      </c>
      <c r="M23" s="6" t="n">
        <v>28.01022373</v>
      </c>
      <c r="N23" s="6" t="n">
        <v>0</v>
      </c>
      <c r="O23" s="7" t="b">
        <v>0</v>
      </c>
      <c r="P23" s="7" t="b">
        <v>0</v>
      </c>
      <c r="Q23" s="7" t="b">
        <v>0</v>
      </c>
      <c r="R23" s="7" t="b">
        <v>0</v>
      </c>
      <c r="S23" s="7" t="b">
        <v>0</v>
      </c>
      <c r="T23" s="7" t="b">
        <v>0</v>
      </c>
      <c r="U23" s="7"/>
      <c r="V23" s="6" t="n">
        <v>0</v>
      </c>
      <c r="W23" s="17"/>
      <c r="X23" s="6" t="n">
        <v>0.35</v>
      </c>
      <c r="Y23" s="6" t="n">
        <v>9.29</v>
      </c>
      <c r="Z23" s="6" t="n">
        <f aca="false">(Y23*7.5006157584566)/X23</f>
        <v>199.087772560177</v>
      </c>
      <c r="AA23" s="6" t="n">
        <v>257</v>
      </c>
      <c r="AB23" s="6" t="n">
        <v>1814</v>
      </c>
      <c r="AC23" s="6" t="n">
        <v>80</v>
      </c>
      <c r="AD23" s="6" t="n">
        <v>37.9</v>
      </c>
      <c r="AE23" s="7" t="b">
        <v>0</v>
      </c>
      <c r="AF23" s="7" t="b">
        <v>0</v>
      </c>
      <c r="AG23" s="7" t="b">
        <v>0</v>
      </c>
      <c r="AH23" s="7" t="b">
        <v>1</v>
      </c>
      <c r="AI23" s="7" t="b">
        <v>0</v>
      </c>
      <c r="AJ23" s="7" t="b">
        <v>0</v>
      </c>
      <c r="AKX23" s="0"/>
      <c r="AKY23" s="0"/>
      <c r="AKZ23" s="0"/>
      <c r="ALA23" s="0"/>
      <c r="ALB23" s="0"/>
      <c r="ALC23" s="0"/>
      <c r="ALD23" s="0"/>
      <c r="ALE23" s="0"/>
      <c r="ALF23" s="0"/>
      <c r="ALG23" s="0"/>
      <c r="ALH23" s="0"/>
      <c r="ALI23" s="0"/>
      <c r="ALJ23" s="0"/>
      <c r="ALK23" s="0"/>
      <c r="ALL23" s="0"/>
      <c r="ALM23" s="0"/>
      <c r="ALN23" s="0"/>
      <c r="ALO23" s="0"/>
      <c r="ALP23" s="0"/>
      <c r="ALQ23" s="0"/>
      <c r="ALR23" s="0"/>
      <c r="ALS23" s="0"/>
      <c r="ALT23" s="0"/>
      <c r="ALU23" s="0"/>
      <c r="ALV23" s="0"/>
      <c r="ALW23" s="0"/>
      <c r="ALX23" s="0"/>
      <c r="ALY23" s="0"/>
      <c r="ALZ23" s="0"/>
      <c r="AMA23" s="0"/>
      <c r="AMB23" s="0"/>
      <c r="AMC23" s="0"/>
      <c r="AMD23" s="0"/>
      <c r="AME23" s="0"/>
      <c r="AMF23" s="0"/>
      <c r="AMG23" s="0"/>
      <c r="AMH23" s="0"/>
      <c r="AMI23" s="0"/>
      <c r="AMJ23" s="0"/>
    </row>
    <row r="24" s="14" customFormat="true" ht="12.8" hidden="false" customHeight="false" outlineLevel="0" collapsed="false">
      <c r="A24" s="18" t="n">
        <v>18</v>
      </c>
      <c r="B24" s="6" t="n">
        <v>1</v>
      </c>
      <c r="C24" s="7" t="b">
        <v>1</v>
      </c>
      <c r="D24" s="7" t="b">
        <v>0</v>
      </c>
      <c r="E24" s="7" t="b">
        <v>0</v>
      </c>
      <c r="F24" s="6" t="n">
        <v>47</v>
      </c>
      <c r="G24" s="6"/>
      <c r="H24" s="16" t="b">
        <v>0</v>
      </c>
      <c r="I24" s="7" t="b">
        <v>0</v>
      </c>
      <c r="J24" s="7" t="b">
        <v>0</v>
      </c>
      <c r="K24" s="7" t="b">
        <v>0</v>
      </c>
      <c r="L24" s="6" t="n">
        <v>63</v>
      </c>
      <c r="M24" s="6" t="n">
        <v>29.2184076</v>
      </c>
      <c r="N24" s="6" t="n">
        <v>0</v>
      </c>
      <c r="O24" s="7" t="b">
        <v>0</v>
      </c>
      <c r="P24" s="7" t="b">
        <v>0</v>
      </c>
      <c r="Q24" s="7" t="b">
        <v>0</v>
      </c>
      <c r="R24" s="7" t="b">
        <v>0</v>
      </c>
      <c r="S24" s="7" t="b">
        <v>0</v>
      </c>
      <c r="T24" s="7" t="b">
        <v>0</v>
      </c>
      <c r="U24" s="7"/>
      <c r="V24" s="6" t="n">
        <v>0</v>
      </c>
      <c r="W24" s="17" t="n">
        <v>12</v>
      </c>
      <c r="X24" s="6" t="n">
        <v>0.6</v>
      </c>
      <c r="Y24" s="6" t="n">
        <v>7.37</v>
      </c>
      <c r="Z24" s="6" t="n">
        <f aca="false">(Y24*7.5006157584566)/X24</f>
        <v>92.1325635663752</v>
      </c>
      <c r="AA24" s="6" t="n">
        <v>202</v>
      </c>
      <c r="AB24" s="6" t="n">
        <v>3089</v>
      </c>
      <c r="AC24" s="6" t="n">
        <v>13.77</v>
      </c>
      <c r="AD24" s="6" t="n">
        <v>37</v>
      </c>
      <c r="AE24" s="7" t="b">
        <v>0</v>
      </c>
      <c r="AF24" s="7" t="b">
        <v>0</v>
      </c>
      <c r="AG24" s="7" t="b">
        <v>0</v>
      </c>
      <c r="AH24" s="7" t="b">
        <v>0</v>
      </c>
      <c r="AI24" s="7" t="b">
        <v>1</v>
      </c>
      <c r="AJ24" s="7" t="b">
        <v>0</v>
      </c>
      <c r="AKX24" s="0"/>
      <c r="AKY24" s="0"/>
      <c r="AKZ24" s="0"/>
      <c r="ALA24" s="0"/>
      <c r="ALB24" s="0"/>
      <c r="ALC24" s="0"/>
      <c r="ALD24" s="0"/>
      <c r="ALE24" s="0"/>
      <c r="ALF24" s="0"/>
      <c r="ALG24" s="0"/>
      <c r="ALH24" s="0"/>
      <c r="ALI24" s="0"/>
      <c r="ALJ24" s="0"/>
      <c r="ALK24" s="0"/>
      <c r="ALL24" s="0"/>
      <c r="ALM24" s="0"/>
      <c r="ALN24" s="0"/>
      <c r="ALO24" s="0"/>
      <c r="ALP24" s="0"/>
      <c r="ALQ24" s="0"/>
      <c r="ALR24" s="0"/>
      <c r="ALS24" s="0"/>
      <c r="ALT24" s="0"/>
      <c r="ALU24" s="0"/>
      <c r="ALV24" s="0"/>
      <c r="ALW24" s="0"/>
      <c r="ALX24" s="0"/>
      <c r="ALY24" s="0"/>
      <c r="ALZ24" s="0"/>
      <c r="AMA24" s="0"/>
      <c r="AMB24" s="0"/>
      <c r="AMC24" s="0"/>
      <c r="AMD24" s="0"/>
      <c r="AME24" s="0"/>
      <c r="AMF24" s="0"/>
      <c r="AMG24" s="0"/>
      <c r="AMH24" s="0"/>
      <c r="AMI24" s="0"/>
      <c r="AMJ24" s="0"/>
    </row>
    <row r="25" s="14" customFormat="true" ht="12.8" hidden="false" customHeight="false" outlineLevel="0" collapsed="false">
      <c r="A25" s="18" t="n">
        <v>19</v>
      </c>
      <c r="B25" s="6" t="n">
        <v>1</v>
      </c>
      <c r="C25" s="7" t="b">
        <v>1</v>
      </c>
      <c r="D25" s="7" t="b">
        <v>0</v>
      </c>
      <c r="E25" s="7" t="b">
        <v>0</v>
      </c>
      <c r="F25" s="6" t="n">
        <v>31</v>
      </c>
      <c r="G25" s="6"/>
      <c r="H25" s="16" t="b">
        <v>0</v>
      </c>
      <c r="I25" s="7" t="b">
        <v>0</v>
      </c>
      <c r="J25" s="7" t="b">
        <v>0</v>
      </c>
      <c r="K25" s="7" t="b">
        <v>1</v>
      </c>
      <c r="L25" s="6" t="n">
        <v>69</v>
      </c>
      <c r="M25" s="6" t="n">
        <v>23.87511478</v>
      </c>
      <c r="N25" s="6" t="n">
        <v>0</v>
      </c>
      <c r="O25" s="7" t="b">
        <v>0</v>
      </c>
      <c r="P25" s="7" t="b">
        <v>1</v>
      </c>
      <c r="Q25" s="7" t="b">
        <v>0</v>
      </c>
      <c r="R25" s="7" t="b">
        <v>0</v>
      </c>
      <c r="S25" s="7" t="b">
        <v>1</v>
      </c>
      <c r="T25" s="7" t="b">
        <v>0</v>
      </c>
      <c r="U25" s="7" t="b">
        <v>0</v>
      </c>
      <c r="V25" s="6" t="n">
        <v>0</v>
      </c>
      <c r="W25" s="17" t="n">
        <v>8</v>
      </c>
      <c r="X25" s="6" t="n">
        <v>0.5</v>
      </c>
      <c r="Y25" s="6" t="n">
        <v>9.9</v>
      </c>
      <c r="Z25" s="6" t="n">
        <f aca="false">(Y25*7.5006157584566)/X25</f>
        <v>148.512192017441</v>
      </c>
      <c r="AA25" s="6" t="n">
        <v>279</v>
      </c>
      <c r="AB25" s="6" t="n">
        <v>466</v>
      </c>
      <c r="AC25" s="6" t="n">
        <v>1.29</v>
      </c>
      <c r="AD25" s="6" t="n">
        <v>38</v>
      </c>
      <c r="AE25" s="7" t="b">
        <v>1</v>
      </c>
      <c r="AF25" s="7" t="b">
        <v>0</v>
      </c>
      <c r="AG25" s="7" t="b">
        <v>0</v>
      </c>
      <c r="AH25" s="7" t="b">
        <v>0</v>
      </c>
      <c r="AI25" s="7" t="b">
        <v>1</v>
      </c>
      <c r="AJ25" s="7" t="b">
        <v>0</v>
      </c>
      <c r="AKX25" s="0"/>
      <c r="AKY25" s="0"/>
      <c r="AKZ25" s="0"/>
      <c r="ALA25" s="0"/>
      <c r="ALB25" s="0"/>
      <c r="ALC25" s="0"/>
      <c r="ALD25" s="0"/>
      <c r="ALE25" s="0"/>
      <c r="ALF25" s="0"/>
      <c r="ALG25" s="0"/>
      <c r="ALH25" s="0"/>
      <c r="ALI25" s="0"/>
      <c r="ALJ25" s="0"/>
      <c r="ALK25" s="0"/>
      <c r="ALL25" s="0"/>
      <c r="ALM25" s="0"/>
      <c r="ALN25" s="0"/>
      <c r="ALO25" s="0"/>
      <c r="ALP25" s="0"/>
      <c r="ALQ25" s="0"/>
      <c r="ALR25" s="0"/>
      <c r="ALS25" s="0"/>
      <c r="ALT25" s="0"/>
      <c r="ALU25" s="0"/>
      <c r="ALV25" s="0"/>
      <c r="ALW25" s="0"/>
      <c r="ALX25" s="0"/>
      <c r="ALY25" s="0"/>
      <c r="ALZ25" s="0"/>
      <c r="AMA25" s="0"/>
      <c r="AMB25" s="0"/>
      <c r="AMC25" s="0"/>
      <c r="AMD25" s="0"/>
      <c r="AME25" s="0"/>
      <c r="AMF25" s="0"/>
      <c r="AMG25" s="0"/>
      <c r="AMH25" s="0"/>
      <c r="AMI25" s="0"/>
      <c r="AMJ25" s="0"/>
    </row>
    <row r="26" s="14" customFormat="true" ht="12.8" hidden="false" customHeight="false" outlineLevel="0" collapsed="false">
      <c r="A26" s="18" t="n">
        <v>20</v>
      </c>
      <c r="B26" s="6" t="n">
        <v>1</v>
      </c>
      <c r="C26" s="7" t="b">
        <v>1</v>
      </c>
      <c r="D26" s="7" t="b">
        <v>0</v>
      </c>
      <c r="E26" s="7" t="b">
        <v>0</v>
      </c>
      <c r="F26" s="6" t="n">
        <v>54</v>
      </c>
      <c r="G26" s="6"/>
      <c r="H26" s="16" t="b">
        <v>0</v>
      </c>
      <c r="I26" s="7" t="b">
        <v>0</v>
      </c>
      <c r="J26" s="7" t="b">
        <v>0</v>
      </c>
      <c r="K26" s="7" t="b">
        <v>1</v>
      </c>
      <c r="L26" s="6" t="n">
        <v>42</v>
      </c>
      <c r="M26" s="6" t="n">
        <v>38.13542132</v>
      </c>
      <c r="N26" s="6" t="n">
        <v>2</v>
      </c>
      <c r="O26" s="7" t="b">
        <v>1</v>
      </c>
      <c r="P26" s="7" t="b">
        <v>0</v>
      </c>
      <c r="Q26" s="7" t="b">
        <v>1</v>
      </c>
      <c r="R26" s="7" t="b">
        <v>0</v>
      </c>
      <c r="S26" s="7" t="b">
        <v>1</v>
      </c>
      <c r="T26" s="7" t="b">
        <v>0</v>
      </c>
      <c r="U26" s="7"/>
      <c r="V26" s="6" t="n">
        <v>0</v>
      </c>
      <c r="W26" s="17" t="n">
        <v>12</v>
      </c>
      <c r="X26" s="6" t="n">
        <v>0.5</v>
      </c>
      <c r="Y26" s="6" t="n">
        <v>8.57</v>
      </c>
      <c r="Z26" s="6" t="n">
        <f aca="false">(Y26*7.5006157584566)/X26</f>
        <v>128.560554099946</v>
      </c>
      <c r="AA26" s="6" t="n">
        <v>170</v>
      </c>
      <c r="AB26" s="6" t="n">
        <v>411</v>
      </c>
      <c r="AC26" s="6" t="n">
        <v>1.93</v>
      </c>
      <c r="AD26" s="6" t="n">
        <v>40.1</v>
      </c>
      <c r="AE26" s="7" t="b">
        <v>0</v>
      </c>
      <c r="AF26" s="7" t="b">
        <v>0</v>
      </c>
      <c r="AG26" s="7" t="b">
        <v>0</v>
      </c>
      <c r="AH26" s="7" t="b">
        <v>0</v>
      </c>
      <c r="AI26" s="7" t="b">
        <v>1</v>
      </c>
      <c r="AJ26" s="7" t="b">
        <v>0</v>
      </c>
      <c r="AKX26" s="0"/>
      <c r="AKY26" s="0"/>
      <c r="AKZ26" s="0"/>
      <c r="ALA26" s="0"/>
      <c r="ALB26" s="0"/>
      <c r="ALC26" s="0"/>
      <c r="ALD26" s="0"/>
      <c r="ALE26" s="0"/>
      <c r="ALF26" s="0"/>
      <c r="ALG26" s="0"/>
      <c r="ALH26" s="0"/>
      <c r="ALI26" s="0"/>
      <c r="ALJ26" s="0"/>
      <c r="ALK26" s="0"/>
      <c r="ALL26" s="0"/>
      <c r="ALM26" s="0"/>
      <c r="ALN26" s="0"/>
      <c r="ALO26" s="0"/>
      <c r="ALP26" s="0"/>
      <c r="ALQ26" s="0"/>
      <c r="ALR26" s="0"/>
      <c r="ALS26" s="0"/>
      <c r="ALT26" s="0"/>
      <c r="ALU26" s="0"/>
      <c r="ALV26" s="0"/>
      <c r="ALW26" s="0"/>
      <c r="ALX26" s="0"/>
      <c r="ALY26" s="0"/>
      <c r="ALZ26" s="0"/>
      <c r="AMA26" s="0"/>
      <c r="AMB26" s="0"/>
      <c r="AMC26" s="0"/>
      <c r="AMD26" s="0"/>
      <c r="AME26" s="0"/>
      <c r="AMF26" s="0"/>
      <c r="AMG26" s="0"/>
      <c r="AMH26" s="0"/>
      <c r="AMI26" s="0"/>
      <c r="AMJ26" s="0"/>
    </row>
    <row r="27" s="14" customFormat="true" ht="12.8" hidden="false" customHeight="false" outlineLevel="0" collapsed="false">
      <c r="A27" s="18" t="n">
        <v>21</v>
      </c>
      <c r="B27" s="6" t="n">
        <v>1</v>
      </c>
      <c r="C27" s="7" t="b">
        <v>1</v>
      </c>
      <c r="D27" s="7" t="b">
        <v>0</v>
      </c>
      <c r="E27" s="7" t="b">
        <v>0</v>
      </c>
      <c r="F27" s="6" t="n">
        <v>66</v>
      </c>
      <c r="G27" s="6"/>
      <c r="H27" s="16" t="b">
        <v>1</v>
      </c>
      <c r="I27" s="7" t="b">
        <v>0</v>
      </c>
      <c r="J27" s="7" t="b">
        <v>1</v>
      </c>
      <c r="K27" s="7" t="b">
        <v>0</v>
      </c>
      <c r="L27" s="6" t="n">
        <v>49</v>
      </c>
      <c r="M27" s="6" t="n">
        <v>24.89706023</v>
      </c>
      <c r="N27" s="6" t="n">
        <v>1</v>
      </c>
      <c r="O27" s="7" t="b">
        <v>1</v>
      </c>
      <c r="P27" s="7" t="b">
        <v>0</v>
      </c>
      <c r="Q27" s="7" t="b">
        <v>0</v>
      </c>
      <c r="R27" s="7" t="b">
        <v>0</v>
      </c>
      <c r="S27" s="7" t="b">
        <v>0</v>
      </c>
      <c r="T27" s="7" t="b">
        <v>0</v>
      </c>
      <c r="U27" s="7"/>
      <c r="V27" s="6" t="n">
        <v>0</v>
      </c>
      <c r="W27" s="17"/>
      <c r="X27" s="6"/>
      <c r="Y27" s="6"/>
      <c r="Z27" s="6"/>
      <c r="AA27" s="6"/>
      <c r="AB27" s="6"/>
      <c r="AC27" s="6"/>
      <c r="AD27" s="6"/>
      <c r="AE27" s="7"/>
      <c r="AF27" s="7"/>
      <c r="AG27" s="7"/>
      <c r="AH27" s="7"/>
      <c r="AI27" s="7"/>
      <c r="AJ27" s="7" t="b">
        <v>0</v>
      </c>
      <c r="AKX27" s="0"/>
      <c r="AKY27" s="0"/>
      <c r="AKZ27" s="0"/>
      <c r="ALA27" s="0"/>
      <c r="ALB27" s="0"/>
      <c r="ALC27" s="0"/>
      <c r="ALD27" s="0"/>
      <c r="ALE27" s="0"/>
      <c r="ALF27" s="0"/>
      <c r="ALG27" s="0"/>
      <c r="ALH27" s="0"/>
      <c r="ALI27" s="0"/>
      <c r="ALJ27" s="0"/>
      <c r="ALK27" s="0"/>
      <c r="ALL27" s="0"/>
      <c r="ALM27" s="0"/>
      <c r="ALN27" s="0"/>
      <c r="ALO27" s="0"/>
      <c r="ALP27" s="0"/>
      <c r="ALQ27" s="0"/>
      <c r="ALR27" s="0"/>
      <c r="ALS27" s="0"/>
      <c r="ALT27" s="0"/>
      <c r="ALU27" s="0"/>
      <c r="ALV27" s="0"/>
      <c r="ALW27" s="0"/>
      <c r="ALX27" s="0"/>
      <c r="ALY27" s="0"/>
      <c r="ALZ27" s="0"/>
      <c r="AMA27" s="0"/>
      <c r="AMB27" s="0"/>
      <c r="AMC27" s="0"/>
      <c r="AMD27" s="0"/>
      <c r="AME27" s="0"/>
      <c r="AMF27" s="0"/>
      <c r="AMG27" s="0"/>
      <c r="AMH27" s="0"/>
      <c r="AMI27" s="0"/>
      <c r="AMJ27" s="0"/>
    </row>
    <row r="28" s="14" customFormat="true" ht="12.8" hidden="false" customHeight="false" outlineLevel="0" collapsed="false">
      <c r="A28" s="18" t="n">
        <v>22</v>
      </c>
      <c r="B28" s="6" t="n">
        <v>1</v>
      </c>
      <c r="C28" s="7" t="b">
        <v>1</v>
      </c>
      <c r="D28" s="7" t="b">
        <v>0</v>
      </c>
      <c r="E28" s="7" t="b">
        <v>0</v>
      </c>
      <c r="F28" s="6" t="n">
        <v>49</v>
      </c>
      <c r="G28" s="6"/>
      <c r="H28" s="16" t="b">
        <v>0</v>
      </c>
      <c r="I28" s="7" t="b">
        <v>0</v>
      </c>
      <c r="J28" s="7" t="b">
        <v>0</v>
      </c>
      <c r="K28" s="7" t="b">
        <v>1</v>
      </c>
      <c r="L28" s="6" t="n">
        <v>72</v>
      </c>
      <c r="M28" s="6" t="n">
        <v>30.11937557</v>
      </c>
      <c r="N28" s="6" t="n">
        <v>0</v>
      </c>
      <c r="O28" s="7" t="b">
        <v>0</v>
      </c>
      <c r="P28" s="7" t="b">
        <v>0</v>
      </c>
      <c r="Q28" s="7" t="b">
        <v>0</v>
      </c>
      <c r="R28" s="7" t="b">
        <v>0</v>
      </c>
      <c r="S28" s="7" t="b">
        <v>0</v>
      </c>
      <c r="T28" s="7" t="b">
        <v>0</v>
      </c>
      <c r="U28" s="7" t="b">
        <v>0</v>
      </c>
      <c r="V28" s="6" t="n">
        <v>1</v>
      </c>
      <c r="W28" s="17" t="n">
        <v>10</v>
      </c>
      <c r="X28" s="6" t="n">
        <v>0.55</v>
      </c>
      <c r="Y28" s="6" t="n">
        <v>8.4</v>
      </c>
      <c r="Z28" s="6" t="n">
        <f aca="false">(Y28*7.5006157584566)/X28</f>
        <v>114.554858856428</v>
      </c>
      <c r="AA28" s="6" t="n">
        <v>413</v>
      </c>
      <c r="AB28" s="6" t="n">
        <v>1653</v>
      </c>
      <c r="AC28" s="6" t="n">
        <v>80</v>
      </c>
      <c r="AD28" s="6" t="n">
        <v>39.7</v>
      </c>
      <c r="AE28" s="7" t="b">
        <v>0</v>
      </c>
      <c r="AF28" s="7" t="b">
        <v>0</v>
      </c>
      <c r="AG28" s="7" t="b">
        <v>0</v>
      </c>
      <c r="AH28" s="7" t="b">
        <v>0</v>
      </c>
      <c r="AI28" s="7" t="b">
        <v>1</v>
      </c>
      <c r="AJ28" s="7" t="b">
        <v>0</v>
      </c>
      <c r="AKX28" s="0"/>
      <c r="AKY28" s="0"/>
      <c r="AKZ28" s="0"/>
      <c r="ALA28" s="0"/>
      <c r="ALB28" s="0"/>
      <c r="ALC28" s="0"/>
      <c r="ALD28" s="0"/>
      <c r="ALE28" s="0"/>
      <c r="ALF28" s="0"/>
      <c r="ALG28" s="0"/>
      <c r="ALH28" s="0"/>
      <c r="ALI28" s="0"/>
      <c r="ALJ28" s="0"/>
      <c r="ALK28" s="0"/>
      <c r="ALL28" s="0"/>
      <c r="ALM28" s="0"/>
      <c r="ALN28" s="0"/>
      <c r="ALO28" s="0"/>
      <c r="ALP28" s="0"/>
      <c r="ALQ28" s="0"/>
      <c r="ALR28" s="0"/>
      <c r="ALS28" s="0"/>
      <c r="ALT28" s="0"/>
      <c r="ALU28" s="0"/>
      <c r="ALV28" s="0"/>
      <c r="ALW28" s="0"/>
      <c r="ALX28" s="0"/>
      <c r="ALY28" s="0"/>
      <c r="ALZ28" s="0"/>
      <c r="AMA28" s="0"/>
      <c r="AMB28" s="0"/>
      <c r="AMC28" s="0"/>
      <c r="AMD28" s="0"/>
      <c r="AME28" s="0"/>
      <c r="AMF28" s="0"/>
      <c r="AMG28" s="0"/>
      <c r="AMH28" s="0"/>
      <c r="AMI28" s="0"/>
      <c r="AMJ28" s="0"/>
    </row>
    <row r="29" s="14" customFormat="true" ht="12.8" hidden="false" customHeight="false" outlineLevel="0" collapsed="false">
      <c r="A29" s="18" t="n">
        <v>23</v>
      </c>
      <c r="B29" s="6" t="n">
        <v>1</v>
      </c>
      <c r="C29" s="7" t="b">
        <v>1</v>
      </c>
      <c r="D29" s="7" t="b">
        <v>0</v>
      </c>
      <c r="E29" s="7" t="b">
        <v>0</v>
      </c>
      <c r="F29" s="6" t="n">
        <v>54</v>
      </c>
      <c r="G29" s="6"/>
      <c r="H29" s="16" t="b">
        <v>0</v>
      </c>
      <c r="I29" s="7" t="b">
        <v>0</v>
      </c>
      <c r="J29" s="7" t="b">
        <v>0</v>
      </c>
      <c r="K29" s="7" t="b">
        <v>0</v>
      </c>
      <c r="L29" s="6" t="n">
        <v>63</v>
      </c>
      <c r="M29" s="6" t="n">
        <v>31.14186851</v>
      </c>
      <c r="N29" s="6" t="n">
        <v>0</v>
      </c>
      <c r="O29" s="7" t="b">
        <v>0</v>
      </c>
      <c r="P29" s="7" t="b">
        <v>0</v>
      </c>
      <c r="Q29" s="7" t="b">
        <v>0</v>
      </c>
      <c r="R29" s="7" t="b">
        <v>0</v>
      </c>
      <c r="S29" s="7" t="b">
        <v>0</v>
      </c>
      <c r="T29" s="7" t="b">
        <v>0</v>
      </c>
      <c r="U29" s="7"/>
      <c r="V29" s="6" t="n">
        <v>0</v>
      </c>
      <c r="W29" s="17" t="n">
        <v>8</v>
      </c>
      <c r="X29" s="6" t="n">
        <v>0.4</v>
      </c>
      <c r="Y29" s="6" t="n">
        <v>8.14</v>
      </c>
      <c r="Z29" s="6" t="n">
        <f aca="false">(Y29*7.5006157584566)/X29</f>
        <v>152.637530684592</v>
      </c>
      <c r="AA29" s="6" t="n">
        <v>282</v>
      </c>
      <c r="AB29" s="6" t="n">
        <v>2641</v>
      </c>
      <c r="AC29" s="6" t="n">
        <v>2.98</v>
      </c>
      <c r="AD29" s="6" t="n">
        <v>39.7</v>
      </c>
      <c r="AE29" s="7" t="b">
        <v>0</v>
      </c>
      <c r="AF29" s="7" t="b">
        <v>0</v>
      </c>
      <c r="AG29" s="7" t="b">
        <v>0</v>
      </c>
      <c r="AH29" s="7" t="b">
        <v>0</v>
      </c>
      <c r="AI29" s="7" t="b">
        <v>1</v>
      </c>
      <c r="AJ29" s="7" t="b">
        <v>0</v>
      </c>
      <c r="AKX29" s="0"/>
      <c r="AKY29" s="0"/>
      <c r="AKZ29" s="0"/>
      <c r="ALA29" s="0"/>
      <c r="ALB29" s="0"/>
      <c r="ALC29" s="0"/>
      <c r="ALD29" s="0"/>
      <c r="ALE29" s="0"/>
      <c r="ALF29" s="0"/>
      <c r="ALG29" s="0"/>
      <c r="ALH29" s="0"/>
      <c r="ALI29" s="0"/>
      <c r="ALJ29" s="0"/>
      <c r="ALK29" s="0"/>
      <c r="ALL29" s="0"/>
      <c r="ALM29" s="0"/>
      <c r="ALN29" s="0"/>
      <c r="ALO29" s="0"/>
      <c r="ALP29" s="0"/>
      <c r="ALQ29" s="0"/>
      <c r="ALR29" s="0"/>
      <c r="ALS29" s="0"/>
      <c r="ALT29" s="0"/>
      <c r="ALU29" s="0"/>
      <c r="ALV29" s="0"/>
      <c r="ALW29" s="0"/>
      <c r="ALX29" s="0"/>
      <c r="ALY29" s="0"/>
      <c r="ALZ29" s="0"/>
      <c r="AMA29" s="0"/>
      <c r="AMB29" s="0"/>
      <c r="AMC29" s="0"/>
      <c r="AMD29" s="0"/>
      <c r="AME29" s="0"/>
      <c r="AMF29" s="0"/>
      <c r="AMG29" s="0"/>
      <c r="AMH29" s="0"/>
      <c r="AMI29" s="0"/>
      <c r="AMJ29" s="0"/>
    </row>
    <row r="30" s="14" customFormat="true" ht="12.8" hidden="false" customHeight="false" outlineLevel="0" collapsed="false">
      <c r="A30" s="18" t="n">
        <v>24</v>
      </c>
      <c r="B30" s="6" t="n">
        <v>1</v>
      </c>
      <c r="C30" s="7" t="b">
        <v>1</v>
      </c>
      <c r="D30" s="7" t="b">
        <v>0</v>
      </c>
      <c r="E30" s="7" t="b">
        <v>0</v>
      </c>
      <c r="F30" s="6" t="n">
        <v>34</v>
      </c>
      <c r="G30" s="6"/>
      <c r="H30" s="16" t="b">
        <v>0</v>
      </c>
      <c r="I30" s="7" t="b">
        <v>1</v>
      </c>
      <c r="J30" s="7" t="b">
        <v>0</v>
      </c>
      <c r="K30" s="7" t="b">
        <v>0</v>
      </c>
      <c r="L30" s="6" t="n">
        <v>59</v>
      </c>
      <c r="M30" s="6" t="n">
        <v>32.45567772</v>
      </c>
      <c r="N30" s="6" t="n">
        <v>1</v>
      </c>
      <c r="O30" s="7" t="b">
        <v>0</v>
      </c>
      <c r="P30" s="7" t="b">
        <v>1</v>
      </c>
      <c r="Q30" s="7" t="b">
        <v>0</v>
      </c>
      <c r="R30" s="7" t="b">
        <v>0</v>
      </c>
      <c r="S30" s="7" t="b">
        <v>1</v>
      </c>
      <c r="T30" s="7" t="b">
        <v>0</v>
      </c>
      <c r="U30" s="7" t="b">
        <v>0</v>
      </c>
      <c r="V30" s="6" t="n">
        <v>0</v>
      </c>
      <c r="W30" s="17" t="n">
        <v>12</v>
      </c>
      <c r="X30" s="6" t="n">
        <v>0.55</v>
      </c>
      <c r="Y30" s="6" t="n">
        <v>7.8</v>
      </c>
      <c r="Z30" s="6" t="n">
        <f aca="false">(Y30*7.5006157584566)/X30</f>
        <v>106.372368938112</v>
      </c>
      <c r="AA30" s="6" t="n">
        <v>290</v>
      </c>
      <c r="AB30" s="6" t="n">
        <v>978</v>
      </c>
      <c r="AC30" s="6" t="n">
        <v>30.84</v>
      </c>
      <c r="AD30" s="6" t="n">
        <v>38</v>
      </c>
      <c r="AE30" s="7" t="b">
        <v>1</v>
      </c>
      <c r="AF30" s="7" t="b">
        <v>0</v>
      </c>
      <c r="AG30" s="7" t="b">
        <v>0</v>
      </c>
      <c r="AH30" s="7" t="b">
        <v>0</v>
      </c>
      <c r="AI30" s="7" t="b">
        <v>1</v>
      </c>
      <c r="AJ30" s="7" t="b">
        <v>0</v>
      </c>
      <c r="AKX30" s="0"/>
      <c r="AKY30" s="0"/>
      <c r="AKZ30" s="0"/>
      <c r="ALA30" s="0"/>
      <c r="ALB30" s="0"/>
      <c r="ALC30" s="0"/>
      <c r="ALD30" s="0"/>
      <c r="ALE30" s="0"/>
      <c r="ALF30" s="0"/>
      <c r="ALG30" s="0"/>
      <c r="ALH30" s="0"/>
      <c r="ALI30" s="0"/>
      <c r="ALJ30" s="0"/>
      <c r="ALK30" s="0"/>
      <c r="ALL30" s="0"/>
      <c r="ALM30" s="0"/>
      <c r="ALN30" s="0"/>
      <c r="ALO30" s="0"/>
      <c r="ALP30" s="0"/>
      <c r="ALQ30" s="0"/>
      <c r="ALR30" s="0"/>
      <c r="ALS30" s="0"/>
      <c r="ALT30" s="0"/>
      <c r="ALU30" s="0"/>
      <c r="ALV30" s="0"/>
      <c r="ALW30" s="0"/>
      <c r="ALX30" s="0"/>
      <c r="ALY30" s="0"/>
      <c r="ALZ30" s="0"/>
      <c r="AMA30" s="0"/>
      <c r="AMB30" s="0"/>
      <c r="AMC30" s="0"/>
      <c r="AMD30" s="0"/>
      <c r="AME30" s="0"/>
      <c r="AMF30" s="0"/>
      <c r="AMG30" s="0"/>
      <c r="AMH30" s="0"/>
      <c r="AMI30" s="0"/>
      <c r="AMJ30" s="0"/>
    </row>
    <row r="31" s="14" customFormat="true" ht="12.8" hidden="false" customHeight="false" outlineLevel="0" collapsed="false">
      <c r="A31" s="18" t="n">
        <v>25</v>
      </c>
      <c r="B31" s="6" t="n">
        <v>1</v>
      </c>
      <c r="C31" s="7" t="b">
        <v>1</v>
      </c>
      <c r="D31" s="7" t="b">
        <v>0</v>
      </c>
      <c r="E31" s="7" t="b">
        <v>0</v>
      </c>
      <c r="F31" s="6" t="n">
        <v>39</v>
      </c>
      <c r="G31" s="6"/>
      <c r="H31" s="16" t="b">
        <v>1</v>
      </c>
      <c r="I31" s="7" t="b">
        <v>1</v>
      </c>
      <c r="J31" s="7" t="b">
        <v>1</v>
      </c>
      <c r="K31" s="7" t="b">
        <v>0</v>
      </c>
      <c r="L31" s="6" t="n">
        <v>49</v>
      </c>
      <c r="M31" s="6" t="n">
        <v>24.69135802</v>
      </c>
      <c r="N31" s="6" t="n">
        <v>2</v>
      </c>
      <c r="O31" s="7" t="b">
        <v>0</v>
      </c>
      <c r="P31" s="7" t="b">
        <v>0</v>
      </c>
      <c r="Q31" s="7" t="b">
        <v>0</v>
      </c>
      <c r="R31" s="7" t="b">
        <v>0</v>
      </c>
      <c r="S31" s="7" t="b">
        <v>0</v>
      </c>
      <c r="T31" s="7" t="b">
        <v>0</v>
      </c>
      <c r="U31" s="7" t="b">
        <v>0</v>
      </c>
      <c r="V31" s="6" t="n">
        <v>0</v>
      </c>
      <c r="W31" s="17" t="n">
        <v>14</v>
      </c>
      <c r="X31" s="6" t="n">
        <v>0.95</v>
      </c>
      <c r="Y31" s="6" t="n">
        <v>11.6</v>
      </c>
      <c r="Z31" s="6" t="n">
        <f aca="false">(Y31*7.5006157584566)/X31</f>
        <v>91.5864661032595</v>
      </c>
      <c r="AA31" s="6" t="n">
        <v>336</v>
      </c>
      <c r="AB31" s="6" t="n">
        <v>2309</v>
      </c>
      <c r="AC31" s="6" t="n">
        <v>5.46</v>
      </c>
      <c r="AD31" s="6" t="n">
        <v>37.8</v>
      </c>
      <c r="AE31" s="7" t="b">
        <v>1</v>
      </c>
      <c r="AF31" s="7" t="b">
        <v>0</v>
      </c>
      <c r="AG31" s="7" t="b">
        <v>0</v>
      </c>
      <c r="AH31" s="7" t="b">
        <v>0</v>
      </c>
      <c r="AI31" s="7" t="b">
        <v>1</v>
      </c>
      <c r="AJ31" s="7" t="b">
        <v>0</v>
      </c>
      <c r="AKX31" s="0"/>
      <c r="AKY31" s="0"/>
      <c r="AKZ31" s="0"/>
      <c r="ALA31" s="0"/>
      <c r="ALB31" s="0"/>
      <c r="ALC31" s="0"/>
      <c r="ALD31" s="0"/>
      <c r="ALE31" s="0"/>
      <c r="ALF31" s="0"/>
      <c r="ALG31" s="0"/>
      <c r="ALH31" s="0"/>
      <c r="ALI31" s="0"/>
      <c r="ALJ31" s="0"/>
      <c r="ALK31" s="0"/>
      <c r="ALL31" s="0"/>
      <c r="ALM31" s="0"/>
      <c r="ALN31" s="0"/>
      <c r="ALO31" s="0"/>
      <c r="ALP31" s="0"/>
      <c r="ALQ31" s="0"/>
      <c r="ALR31" s="0"/>
      <c r="ALS31" s="0"/>
      <c r="ALT31" s="0"/>
      <c r="ALU31" s="0"/>
      <c r="ALV31" s="0"/>
      <c r="ALW31" s="0"/>
      <c r="ALX31" s="0"/>
      <c r="ALY31" s="0"/>
      <c r="ALZ31" s="0"/>
      <c r="AMA31" s="0"/>
      <c r="AMB31" s="0"/>
      <c r="AMC31" s="0"/>
      <c r="AMD31" s="0"/>
      <c r="AME31" s="0"/>
      <c r="AMF31" s="0"/>
      <c r="AMG31" s="0"/>
      <c r="AMH31" s="0"/>
      <c r="AMI31" s="0"/>
      <c r="AMJ31" s="0"/>
    </row>
    <row r="32" s="14" customFormat="true" ht="12.8" hidden="false" customHeight="false" outlineLevel="0" collapsed="false">
      <c r="A32" s="18" t="n">
        <v>27</v>
      </c>
      <c r="B32" s="6" t="n">
        <v>1</v>
      </c>
      <c r="C32" s="7" t="b">
        <v>1</v>
      </c>
      <c r="D32" s="7" t="b">
        <v>0</v>
      </c>
      <c r="E32" s="7" t="b">
        <v>0</v>
      </c>
      <c r="F32" s="6" t="n">
        <v>36</v>
      </c>
      <c r="G32" s="6"/>
      <c r="H32" s="16" t="b">
        <v>0</v>
      </c>
      <c r="I32" s="7"/>
      <c r="J32" s="7" t="b">
        <v>0</v>
      </c>
      <c r="K32" s="7" t="b">
        <v>0</v>
      </c>
      <c r="L32" s="6" t="n">
        <v>58</v>
      </c>
      <c r="M32" s="6" t="n">
        <v>24.91349481</v>
      </c>
      <c r="N32" s="6" t="n">
        <v>1</v>
      </c>
      <c r="O32" s="7" t="b">
        <v>0</v>
      </c>
      <c r="P32" s="7" t="b">
        <v>1</v>
      </c>
      <c r="Q32" s="7" t="b">
        <v>0</v>
      </c>
      <c r="R32" s="7" t="b">
        <v>0</v>
      </c>
      <c r="S32" s="7" t="b">
        <v>0</v>
      </c>
      <c r="T32" s="7" t="b">
        <v>0</v>
      </c>
      <c r="U32" s="7"/>
      <c r="V32" s="6" t="n">
        <v>0</v>
      </c>
      <c r="W32" s="17" t="n">
        <v>10</v>
      </c>
      <c r="X32" s="6" t="n">
        <v>0.35</v>
      </c>
      <c r="Y32" s="6" t="n">
        <v>8.25</v>
      </c>
      <c r="Z32" s="6" t="n">
        <f aca="false">(Y32*7.5006157584566)/X32</f>
        <v>176.800228592191</v>
      </c>
      <c r="AA32" s="6" t="n">
        <v>241</v>
      </c>
      <c r="AB32" s="6"/>
      <c r="AC32" s="6"/>
      <c r="AD32" s="6" t="n">
        <v>38</v>
      </c>
      <c r="AE32" s="7" t="b">
        <v>0</v>
      </c>
      <c r="AF32" s="7" t="b">
        <v>0</v>
      </c>
      <c r="AG32" s="7" t="b">
        <v>0</v>
      </c>
      <c r="AH32" s="7" t="b">
        <v>0</v>
      </c>
      <c r="AI32" s="7" t="b">
        <v>0</v>
      </c>
      <c r="AJ32" s="7" t="b">
        <v>0</v>
      </c>
      <c r="AKX32" s="0"/>
      <c r="AKY32" s="0"/>
      <c r="AKZ32" s="0"/>
      <c r="ALA32" s="0"/>
      <c r="ALB32" s="0"/>
      <c r="ALC32" s="0"/>
      <c r="ALD32" s="0"/>
      <c r="ALE32" s="0"/>
      <c r="ALF32" s="0"/>
      <c r="ALG32" s="0"/>
      <c r="ALH32" s="0"/>
      <c r="ALI32" s="0"/>
      <c r="ALJ32" s="0"/>
      <c r="ALK32" s="0"/>
      <c r="ALL32" s="0"/>
      <c r="ALM32" s="0"/>
      <c r="ALN32" s="0"/>
      <c r="ALO32" s="0"/>
      <c r="ALP32" s="0"/>
      <c r="ALQ32" s="0"/>
      <c r="ALR32" s="0"/>
      <c r="ALS32" s="0"/>
      <c r="ALT32" s="0"/>
      <c r="ALU32" s="0"/>
      <c r="ALV32" s="0"/>
      <c r="ALW32" s="0"/>
      <c r="ALX32" s="0"/>
      <c r="ALY32" s="0"/>
      <c r="ALZ32" s="0"/>
      <c r="AMA32" s="0"/>
      <c r="AMB32" s="0"/>
      <c r="AMC32" s="0"/>
      <c r="AMD32" s="0"/>
      <c r="AME32" s="0"/>
      <c r="AMF32" s="0"/>
      <c r="AMG32" s="0"/>
      <c r="AMH32" s="0"/>
      <c r="AMI32" s="0"/>
      <c r="AMJ32" s="0"/>
    </row>
    <row r="33" s="14" customFormat="true" ht="12.8" hidden="false" customHeight="false" outlineLevel="0" collapsed="false">
      <c r="A33" s="18" t="n">
        <v>28</v>
      </c>
      <c r="B33" s="6" t="n">
        <v>1</v>
      </c>
      <c r="C33" s="7" t="b">
        <v>1</v>
      </c>
      <c r="D33" s="7" t="b">
        <v>0</v>
      </c>
      <c r="E33" s="7" t="b">
        <v>0</v>
      </c>
      <c r="F33" s="6" t="n">
        <v>52</v>
      </c>
      <c r="G33" s="6"/>
      <c r="H33" s="16" t="b">
        <v>0</v>
      </c>
      <c r="I33" s="7" t="b">
        <v>0</v>
      </c>
      <c r="J33" s="7" t="b">
        <v>0</v>
      </c>
      <c r="K33" s="7" t="b">
        <v>0</v>
      </c>
      <c r="L33" s="6" t="n">
        <v>56</v>
      </c>
      <c r="M33" s="6" t="n">
        <v>22.85714286</v>
      </c>
      <c r="N33" s="6" t="n">
        <v>1</v>
      </c>
      <c r="O33" s="7" t="b">
        <v>1</v>
      </c>
      <c r="P33" s="7" t="b">
        <v>1</v>
      </c>
      <c r="Q33" s="7" t="b">
        <v>0</v>
      </c>
      <c r="R33" s="7" t="b">
        <v>0</v>
      </c>
      <c r="S33" s="7" t="b">
        <v>0</v>
      </c>
      <c r="T33" s="7" t="b">
        <v>0</v>
      </c>
      <c r="U33" s="7" t="b">
        <v>0</v>
      </c>
      <c r="V33" s="6" t="n">
        <v>0</v>
      </c>
      <c r="W33" s="17" t="n">
        <v>10</v>
      </c>
      <c r="X33" s="6" t="n">
        <v>0.5</v>
      </c>
      <c r="Y33" s="6" t="n">
        <v>8.19</v>
      </c>
      <c r="Z33" s="6" t="n">
        <f aca="false">(Y33*7.5006157584566)/X33</f>
        <v>122.860086123519</v>
      </c>
      <c r="AA33" s="6" t="n">
        <v>112</v>
      </c>
      <c r="AB33" s="6" t="n">
        <v>1583</v>
      </c>
      <c r="AC33" s="6" t="n">
        <v>80</v>
      </c>
      <c r="AD33" s="6" t="n">
        <v>37.9</v>
      </c>
      <c r="AE33" s="7" t="b">
        <v>0</v>
      </c>
      <c r="AF33" s="7" t="b">
        <v>0</v>
      </c>
      <c r="AG33" s="7" t="b">
        <v>0</v>
      </c>
      <c r="AH33" s="7" t="b">
        <v>0</v>
      </c>
      <c r="AI33" s="7" t="b">
        <v>1</v>
      </c>
      <c r="AJ33" s="7" t="b">
        <v>0</v>
      </c>
      <c r="AKX33" s="0"/>
      <c r="AKY33" s="0"/>
      <c r="AKZ33" s="0"/>
      <c r="ALA33" s="0"/>
      <c r="ALB33" s="0"/>
      <c r="ALC33" s="0"/>
      <c r="ALD33" s="0"/>
      <c r="ALE33" s="0"/>
      <c r="ALF33" s="0"/>
      <c r="ALG33" s="0"/>
      <c r="ALH33" s="0"/>
      <c r="ALI33" s="0"/>
      <c r="ALJ33" s="0"/>
      <c r="ALK33" s="0"/>
      <c r="ALL33" s="0"/>
      <c r="ALM33" s="0"/>
      <c r="ALN33" s="0"/>
      <c r="ALO33" s="0"/>
      <c r="ALP33" s="0"/>
      <c r="ALQ33" s="0"/>
      <c r="ALR33" s="0"/>
      <c r="ALS33" s="0"/>
      <c r="ALT33" s="0"/>
      <c r="ALU33" s="0"/>
      <c r="ALV33" s="0"/>
      <c r="ALW33" s="0"/>
      <c r="ALX33" s="0"/>
      <c r="ALY33" s="0"/>
      <c r="ALZ33" s="0"/>
      <c r="AMA33" s="0"/>
      <c r="AMB33" s="0"/>
      <c r="AMC33" s="0"/>
      <c r="AMD33" s="0"/>
      <c r="AME33" s="0"/>
      <c r="AMF33" s="0"/>
      <c r="AMG33" s="0"/>
      <c r="AMH33" s="0"/>
      <c r="AMI33" s="0"/>
      <c r="AMJ33" s="0"/>
    </row>
    <row r="34" s="14" customFormat="true" ht="12.8" hidden="false" customHeight="false" outlineLevel="0" collapsed="false">
      <c r="A34" s="18" t="n">
        <v>29</v>
      </c>
      <c r="B34" s="6" t="n">
        <v>1</v>
      </c>
      <c r="C34" s="7" t="b">
        <v>1</v>
      </c>
      <c r="D34" s="7" t="b">
        <v>0</v>
      </c>
      <c r="E34" s="7" t="b">
        <v>0</v>
      </c>
      <c r="F34" s="6" t="n">
        <v>42</v>
      </c>
      <c r="G34" s="6"/>
      <c r="H34" s="16" t="b">
        <v>1</v>
      </c>
      <c r="I34" s="7" t="b">
        <v>0</v>
      </c>
      <c r="J34" s="7" t="b">
        <v>0</v>
      </c>
      <c r="K34" s="7" t="b">
        <v>1</v>
      </c>
      <c r="L34" s="6" t="n">
        <v>71</v>
      </c>
      <c r="M34" s="6" t="n">
        <v>29.32098765</v>
      </c>
      <c r="N34" s="6" t="n">
        <v>1</v>
      </c>
      <c r="O34" s="7" t="b">
        <v>1</v>
      </c>
      <c r="P34" s="7" t="b">
        <v>1</v>
      </c>
      <c r="Q34" s="7" t="b">
        <v>0</v>
      </c>
      <c r="R34" s="7" t="b">
        <v>0</v>
      </c>
      <c r="S34" s="7" t="b">
        <v>0</v>
      </c>
      <c r="T34" s="7" t="b">
        <v>0</v>
      </c>
      <c r="U34" s="7"/>
      <c r="V34" s="6" t="n">
        <v>0</v>
      </c>
      <c r="W34" s="17" t="n">
        <v>14</v>
      </c>
      <c r="X34" s="6" t="n">
        <v>0.9</v>
      </c>
      <c r="Y34" s="6" t="n">
        <v>8.36</v>
      </c>
      <c r="Z34" s="6" t="n">
        <f aca="false">(Y34*7.5006157584566)/X34</f>
        <v>69.6723863785524</v>
      </c>
      <c r="AA34" s="6" t="n">
        <v>294</v>
      </c>
      <c r="AB34" s="6" t="n">
        <v>1102</v>
      </c>
      <c r="AC34" s="6" t="n">
        <v>15.42</v>
      </c>
      <c r="AD34" s="6" t="n">
        <v>37.5</v>
      </c>
      <c r="AE34" s="7" t="b">
        <v>1</v>
      </c>
      <c r="AF34" s="7" t="b">
        <v>1</v>
      </c>
      <c r="AG34" s="7" t="b">
        <v>0</v>
      </c>
      <c r="AH34" s="7" t="b">
        <v>0</v>
      </c>
      <c r="AI34" s="7" t="b">
        <v>1</v>
      </c>
      <c r="AJ34" s="7" t="b">
        <v>0</v>
      </c>
      <c r="AKX34" s="0"/>
      <c r="AKY34" s="0"/>
      <c r="AKZ34" s="0"/>
      <c r="ALA34" s="0"/>
      <c r="ALB34" s="0"/>
      <c r="ALC34" s="0"/>
      <c r="ALD34" s="0"/>
      <c r="ALE34" s="0"/>
      <c r="ALF34" s="0"/>
      <c r="ALG34" s="0"/>
      <c r="ALH34" s="0"/>
      <c r="ALI34" s="0"/>
      <c r="ALJ34" s="0"/>
      <c r="ALK34" s="0"/>
      <c r="ALL34" s="0"/>
      <c r="ALM34" s="0"/>
      <c r="ALN34" s="0"/>
      <c r="ALO34" s="0"/>
      <c r="ALP34" s="0"/>
      <c r="ALQ34" s="0"/>
      <c r="ALR34" s="0"/>
      <c r="ALS34" s="0"/>
      <c r="ALT34" s="0"/>
      <c r="ALU34" s="0"/>
      <c r="ALV34" s="0"/>
      <c r="ALW34" s="0"/>
      <c r="ALX34" s="0"/>
      <c r="ALY34" s="0"/>
      <c r="ALZ34" s="0"/>
      <c r="AMA34" s="0"/>
      <c r="AMB34" s="0"/>
      <c r="AMC34" s="0"/>
      <c r="AMD34" s="0"/>
      <c r="AME34" s="0"/>
      <c r="AMF34" s="0"/>
      <c r="AMG34" s="0"/>
      <c r="AMH34" s="0"/>
      <c r="AMI34" s="0"/>
      <c r="AMJ34" s="0"/>
    </row>
    <row r="35" s="14" customFormat="true" ht="12.8" hidden="false" customHeight="false" outlineLevel="0" collapsed="false">
      <c r="A35" s="18" t="n">
        <v>30</v>
      </c>
      <c r="B35" s="6" t="n">
        <v>1</v>
      </c>
      <c r="C35" s="7" t="b">
        <v>1</v>
      </c>
      <c r="D35" s="7" t="b">
        <v>0</v>
      </c>
      <c r="E35" s="7" t="b">
        <v>0</v>
      </c>
      <c r="F35" s="6" t="n">
        <v>33</v>
      </c>
      <c r="G35" s="6"/>
      <c r="H35" s="16" t="b">
        <v>0</v>
      </c>
      <c r="I35" s="7" t="b">
        <v>0</v>
      </c>
      <c r="J35" s="7" t="b">
        <v>0</v>
      </c>
      <c r="K35" s="7" t="b">
        <v>1</v>
      </c>
      <c r="L35" s="6" t="n">
        <v>58</v>
      </c>
      <c r="M35" s="6" t="n">
        <v>32.07591299</v>
      </c>
      <c r="N35" s="6" t="n">
        <v>1</v>
      </c>
      <c r="O35" s="7" t="b">
        <v>1</v>
      </c>
      <c r="P35" s="7" t="b">
        <v>1</v>
      </c>
      <c r="Q35" s="7" t="b">
        <v>0</v>
      </c>
      <c r="R35" s="7" t="b">
        <v>0</v>
      </c>
      <c r="S35" s="7" t="b">
        <v>1</v>
      </c>
      <c r="T35" s="7" t="b">
        <v>0</v>
      </c>
      <c r="U35" s="7" t="b">
        <v>0</v>
      </c>
      <c r="V35" s="6" t="n">
        <v>0</v>
      </c>
      <c r="W35" s="17" t="n">
        <v>10</v>
      </c>
      <c r="X35" s="6" t="n">
        <v>0.5</v>
      </c>
      <c r="Y35" s="6" t="n">
        <v>11.5</v>
      </c>
      <c r="Z35" s="6" t="n">
        <f aca="false">(Y35*7.5006157584566)/X35</f>
        <v>172.514162444502</v>
      </c>
      <c r="AA35" s="6" t="n">
        <v>135</v>
      </c>
      <c r="AB35" s="6" t="n">
        <v>2679</v>
      </c>
      <c r="AC35" s="6" t="n">
        <v>2.1</v>
      </c>
      <c r="AD35" s="6" t="n">
        <v>37.4</v>
      </c>
      <c r="AE35" s="7" t="b">
        <v>0</v>
      </c>
      <c r="AF35" s="7" t="b">
        <v>0</v>
      </c>
      <c r="AG35" s="7" t="b">
        <v>0</v>
      </c>
      <c r="AH35" s="7" t="b">
        <v>0</v>
      </c>
      <c r="AI35" s="7" t="b">
        <v>0</v>
      </c>
      <c r="AJ35" s="7" t="b">
        <v>0</v>
      </c>
      <c r="AKX35" s="0"/>
      <c r="AKY35" s="0"/>
      <c r="AKZ35" s="0"/>
      <c r="ALA35" s="0"/>
      <c r="ALB35" s="0"/>
      <c r="ALC35" s="0"/>
      <c r="ALD35" s="0"/>
      <c r="ALE35" s="0"/>
      <c r="ALF35" s="0"/>
      <c r="ALG35" s="0"/>
      <c r="ALH35" s="0"/>
      <c r="ALI35" s="0"/>
      <c r="ALJ35" s="0"/>
      <c r="ALK35" s="0"/>
      <c r="ALL35" s="0"/>
      <c r="ALM35" s="0"/>
      <c r="ALN35" s="0"/>
      <c r="ALO35" s="0"/>
      <c r="ALP35" s="0"/>
      <c r="ALQ35" s="0"/>
      <c r="ALR35" s="0"/>
      <c r="ALS35" s="0"/>
      <c r="ALT35" s="0"/>
      <c r="ALU35" s="0"/>
      <c r="ALV35" s="0"/>
      <c r="ALW35" s="0"/>
      <c r="ALX35" s="0"/>
      <c r="ALY35" s="0"/>
      <c r="ALZ35" s="0"/>
      <c r="AMA35" s="0"/>
      <c r="AMB35" s="0"/>
      <c r="AMC35" s="0"/>
      <c r="AMD35" s="0"/>
      <c r="AME35" s="0"/>
      <c r="AMF35" s="0"/>
      <c r="AMG35" s="0"/>
      <c r="AMH35" s="0"/>
      <c r="AMI35" s="0"/>
      <c r="AMJ35" s="0"/>
    </row>
    <row r="36" s="14" customFormat="true" ht="12.8" hidden="false" customHeight="false" outlineLevel="0" collapsed="false">
      <c r="A36" s="18" t="n">
        <v>31</v>
      </c>
      <c r="B36" s="6" t="n">
        <v>1</v>
      </c>
      <c r="C36" s="7" t="b">
        <v>1</v>
      </c>
      <c r="D36" s="7" t="b">
        <v>0</v>
      </c>
      <c r="E36" s="7" t="b">
        <v>0</v>
      </c>
      <c r="F36" s="6" t="n">
        <v>56</v>
      </c>
      <c r="G36" s="6"/>
      <c r="H36" s="16" t="b">
        <v>0</v>
      </c>
      <c r="I36" s="7" t="b">
        <v>1</v>
      </c>
      <c r="J36" s="7" t="b">
        <v>0</v>
      </c>
      <c r="K36" s="7" t="b">
        <v>0</v>
      </c>
      <c r="L36" s="6" t="n">
        <v>35</v>
      </c>
      <c r="M36" s="6" t="n">
        <v>31.67870278</v>
      </c>
      <c r="N36" s="6" t="n">
        <v>0</v>
      </c>
      <c r="O36" s="7" t="b">
        <v>1</v>
      </c>
      <c r="P36" s="7" t="b">
        <v>0</v>
      </c>
      <c r="Q36" s="7" t="b">
        <v>0</v>
      </c>
      <c r="R36" s="7" t="b">
        <v>0</v>
      </c>
      <c r="S36" s="7" t="b">
        <v>0</v>
      </c>
      <c r="T36" s="7" t="b">
        <v>1</v>
      </c>
      <c r="U36" s="7"/>
      <c r="V36" s="6" t="n">
        <v>2</v>
      </c>
      <c r="W36" s="17"/>
      <c r="X36" s="6"/>
      <c r="Y36" s="6"/>
      <c r="Z36" s="6"/>
      <c r="AA36" s="6"/>
      <c r="AB36" s="6"/>
      <c r="AC36" s="6"/>
      <c r="AD36" s="6"/>
      <c r="AE36" s="7" t="b">
        <v>0</v>
      </c>
      <c r="AF36" s="7" t="b">
        <v>0</v>
      </c>
      <c r="AG36" s="7" t="b">
        <v>0</v>
      </c>
      <c r="AH36" s="7" t="b">
        <v>0</v>
      </c>
      <c r="AI36" s="7" t="b">
        <v>0</v>
      </c>
      <c r="AJ36" s="7" t="b">
        <v>0</v>
      </c>
      <c r="AKX36" s="0"/>
      <c r="AKY36" s="0"/>
      <c r="AKZ36" s="0"/>
      <c r="ALA36" s="0"/>
      <c r="ALB36" s="0"/>
      <c r="ALC36" s="0"/>
      <c r="ALD36" s="0"/>
      <c r="ALE36" s="0"/>
      <c r="ALF36" s="0"/>
      <c r="ALG36" s="0"/>
      <c r="ALH36" s="0"/>
      <c r="ALI36" s="0"/>
      <c r="ALJ36" s="0"/>
      <c r="ALK36" s="0"/>
      <c r="ALL36" s="0"/>
      <c r="ALM36" s="0"/>
      <c r="ALN36" s="0"/>
      <c r="ALO36" s="0"/>
      <c r="ALP36" s="0"/>
      <c r="ALQ36" s="0"/>
      <c r="ALR36" s="0"/>
      <c r="ALS36" s="0"/>
      <c r="ALT36" s="0"/>
      <c r="ALU36" s="0"/>
      <c r="ALV36" s="0"/>
      <c r="ALW36" s="0"/>
      <c r="ALX36" s="0"/>
      <c r="ALY36" s="0"/>
      <c r="ALZ36" s="0"/>
      <c r="AMA36" s="0"/>
      <c r="AMB36" s="0"/>
      <c r="AMC36" s="0"/>
      <c r="AMD36" s="0"/>
      <c r="AME36" s="0"/>
      <c r="AMF36" s="0"/>
      <c r="AMG36" s="0"/>
      <c r="AMH36" s="0"/>
      <c r="AMI36" s="0"/>
      <c r="AMJ36" s="0"/>
    </row>
    <row r="37" s="14" customFormat="true" ht="12.8" hidden="false" customHeight="false" outlineLevel="0" collapsed="false">
      <c r="A37" s="18" t="n">
        <v>32</v>
      </c>
      <c r="B37" s="6" t="n">
        <v>1</v>
      </c>
      <c r="C37" s="7" t="b">
        <v>1</v>
      </c>
      <c r="D37" s="7" t="b">
        <v>0</v>
      </c>
      <c r="E37" s="7" t="b">
        <v>0</v>
      </c>
      <c r="F37" s="6" t="n">
        <v>41</v>
      </c>
      <c r="G37" s="6"/>
      <c r="H37" s="16" t="b">
        <v>0</v>
      </c>
      <c r="I37" s="7"/>
      <c r="J37" s="7" t="b">
        <v>0</v>
      </c>
      <c r="K37" s="7" t="b">
        <v>1</v>
      </c>
      <c r="L37" s="6" t="n">
        <v>78</v>
      </c>
      <c r="M37" s="6" t="n">
        <v>28.125</v>
      </c>
      <c r="N37" s="6" t="n">
        <v>1</v>
      </c>
      <c r="O37" s="7" t="b">
        <v>1</v>
      </c>
      <c r="P37" s="7" t="b">
        <v>1</v>
      </c>
      <c r="Q37" s="7" t="b">
        <v>0</v>
      </c>
      <c r="R37" s="7" t="b">
        <v>0</v>
      </c>
      <c r="S37" s="7" t="b">
        <v>1</v>
      </c>
      <c r="T37" s="7" t="b">
        <v>1</v>
      </c>
      <c r="U37" s="7" t="b">
        <v>0</v>
      </c>
      <c r="V37" s="6" t="n">
        <v>0</v>
      </c>
      <c r="W37" s="17" t="n">
        <v>6</v>
      </c>
      <c r="X37" s="6" t="n">
        <v>0.45</v>
      </c>
      <c r="Y37" s="6" t="n">
        <v>9.8</v>
      </c>
      <c r="Z37" s="6" t="n">
        <f aca="false">(Y37*7.5006157584566)/X37</f>
        <v>163.346743184166</v>
      </c>
      <c r="AA37" s="6" t="n">
        <v>81</v>
      </c>
      <c r="AB37" s="6" t="n">
        <v>444</v>
      </c>
      <c r="AC37" s="6"/>
      <c r="AD37" s="6" t="n">
        <v>37</v>
      </c>
      <c r="AE37" s="7" t="b">
        <v>0</v>
      </c>
      <c r="AF37" s="7" t="b">
        <v>0</v>
      </c>
      <c r="AG37" s="7" t="b">
        <v>0</v>
      </c>
      <c r="AH37" s="7" t="b">
        <v>0</v>
      </c>
      <c r="AI37" s="7" t="b">
        <v>0</v>
      </c>
      <c r="AJ37" s="7" t="b">
        <v>0</v>
      </c>
      <c r="AKX37" s="0"/>
      <c r="AKY37" s="0"/>
      <c r="AKZ37" s="0"/>
      <c r="ALA37" s="0"/>
      <c r="ALB37" s="0"/>
      <c r="ALC37" s="0"/>
      <c r="ALD37" s="0"/>
      <c r="ALE37" s="0"/>
      <c r="ALF37" s="0"/>
      <c r="ALG37" s="0"/>
      <c r="ALH37" s="0"/>
      <c r="ALI37" s="0"/>
      <c r="ALJ37" s="0"/>
      <c r="ALK37" s="0"/>
      <c r="ALL37" s="0"/>
      <c r="ALM37" s="0"/>
      <c r="ALN37" s="0"/>
      <c r="ALO37" s="0"/>
      <c r="ALP37" s="0"/>
      <c r="ALQ37" s="0"/>
      <c r="ALR37" s="0"/>
      <c r="ALS37" s="0"/>
      <c r="ALT37" s="0"/>
      <c r="ALU37" s="0"/>
      <c r="ALV37" s="0"/>
      <c r="ALW37" s="0"/>
      <c r="ALX37" s="0"/>
      <c r="ALY37" s="0"/>
      <c r="ALZ37" s="0"/>
      <c r="AMA37" s="0"/>
      <c r="AMB37" s="0"/>
      <c r="AMC37" s="0"/>
      <c r="AMD37" s="0"/>
      <c r="AME37" s="0"/>
      <c r="AMF37" s="0"/>
      <c r="AMG37" s="0"/>
      <c r="AMH37" s="0"/>
      <c r="AMI37" s="0"/>
      <c r="AMJ37" s="0"/>
    </row>
    <row r="38" s="14" customFormat="true" ht="12.8" hidden="false" customHeight="false" outlineLevel="0" collapsed="false">
      <c r="A38" s="18" t="n">
        <v>34</v>
      </c>
      <c r="B38" s="6" t="n">
        <v>1</v>
      </c>
      <c r="C38" s="7" t="b">
        <v>1</v>
      </c>
      <c r="D38" s="7" t="b">
        <v>0</v>
      </c>
      <c r="E38" s="7" t="b">
        <v>0</v>
      </c>
      <c r="F38" s="6" t="n">
        <v>49</v>
      </c>
      <c r="G38" s="6"/>
      <c r="H38" s="16" t="b">
        <v>0</v>
      </c>
      <c r="I38" s="7" t="b">
        <v>0</v>
      </c>
      <c r="J38" s="7" t="b">
        <v>1</v>
      </c>
      <c r="K38" s="7" t="b">
        <v>0</v>
      </c>
      <c r="L38" s="6" t="n">
        <v>60</v>
      </c>
      <c r="M38" s="6" t="n">
        <v>25.71166208</v>
      </c>
      <c r="N38" s="6" t="n">
        <v>1</v>
      </c>
      <c r="O38" s="7" t="b">
        <v>0</v>
      </c>
      <c r="P38" s="7" t="b">
        <v>0</v>
      </c>
      <c r="Q38" s="7" t="b">
        <v>0</v>
      </c>
      <c r="R38" s="7" t="b">
        <v>0</v>
      </c>
      <c r="S38" s="7" t="b">
        <v>0</v>
      </c>
      <c r="T38" s="7" t="b">
        <v>0</v>
      </c>
      <c r="U38" s="7" t="b">
        <v>0</v>
      </c>
      <c r="V38" s="6" t="n">
        <v>0</v>
      </c>
      <c r="W38" s="17"/>
      <c r="X38" s="6" t="n">
        <v>0.5</v>
      </c>
      <c r="Y38" s="6" t="n">
        <v>8.96</v>
      </c>
      <c r="Z38" s="6" t="n">
        <f aca="false">(Y38*7.5006157584566)/X38</f>
        <v>134.411034391542</v>
      </c>
      <c r="AA38" s="6" t="n">
        <v>237</v>
      </c>
      <c r="AB38" s="6" t="n">
        <v>1323</v>
      </c>
      <c r="AC38" s="6" t="n">
        <v>75.91</v>
      </c>
      <c r="AD38" s="6" t="n">
        <v>38.3</v>
      </c>
      <c r="AE38" s="7" t="b">
        <v>1</v>
      </c>
      <c r="AF38" s="7" t="b">
        <v>0</v>
      </c>
      <c r="AG38" s="7" t="b">
        <v>0</v>
      </c>
      <c r="AH38" s="7" t="b">
        <v>0</v>
      </c>
      <c r="AI38" s="7" t="b">
        <v>0</v>
      </c>
      <c r="AJ38" s="7" t="b">
        <v>0</v>
      </c>
      <c r="AKX38" s="0"/>
      <c r="AKY38" s="0"/>
      <c r="AKZ38" s="0"/>
      <c r="ALA38" s="0"/>
      <c r="ALB38" s="0"/>
      <c r="ALC38" s="0"/>
      <c r="ALD38" s="0"/>
      <c r="ALE38" s="0"/>
      <c r="ALF38" s="0"/>
      <c r="ALG38" s="0"/>
      <c r="ALH38" s="0"/>
      <c r="ALI38" s="0"/>
      <c r="ALJ38" s="0"/>
      <c r="ALK38" s="0"/>
      <c r="ALL38" s="0"/>
      <c r="ALM38" s="0"/>
      <c r="ALN38" s="0"/>
      <c r="ALO38" s="0"/>
      <c r="ALP38" s="0"/>
      <c r="ALQ38" s="0"/>
      <c r="ALR38" s="0"/>
      <c r="ALS38" s="0"/>
      <c r="ALT38" s="0"/>
      <c r="ALU38" s="0"/>
      <c r="ALV38" s="0"/>
      <c r="ALW38" s="0"/>
      <c r="ALX38" s="0"/>
      <c r="ALY38" s="0"/>
      <c r="ALZ38" s="0"/>
      <c r="AMA38" s="0"/>
      <c r="AMB38" s="0"/>
      <c r="AMC38" s="0"/>
      <c r="AMD38" s="0"/>
      <c r="AME38" s="0"/>
      <c r="AMF38" s="0"/>
      <c r="AMG38" s="0"/>
      <c r="AMH38" s="0"/>
      <c r="AMI38" s="0"/>
      <c r="AMJ38" s="0"/>
    </row>
    <row r="39" s="14" customFormat="true" ht="12.8" hidden="false" customHeight="false" outlineLevel="0" collapsed="false">
      <c r="A39" s="18" t="n">
        <v>35</v>
      </c>
      <c r="B39" s="6" t="n">
        <v>1</v>
      </c>
      <c r="C39" s="7" t="b">
        <v>1</v>
      </c>
      <c r="D39" s="7" t="b">
        <v>0</v>
      </c>
      <c r="E39" s="7" t="b">
        <v>0</v>
      </c>
      <c r="F39" s="6" t="n">
        <v>57</v>
      </c>
      <c r="G39" s="6"/>
      <c r="H39" s="16" t="b">
        <v>0</v>
      </c>
      <c r="I39" s="7"/>
      <c r="J39" s="7" t="b">
        <v>0</v>
      </c>
      <c r="K39" s="7" t="b">
        <v>1</v>
      </c>
      <c r="L39" s="6" t="n">
        <v>52</v>
      </c>
      <c r="M39" s="6" t="n">
        <v>39.79238754</v>
      </c>
      <c r="N39" s="6" t="n">
        <v>0</v>
      </c>
      <c r="O39" s="7" t="b">
        <v>0</v>
      </c>
      <c r="P39" s="7" t="b">
        <v>1</v>
      </c>
      <c r="Q39" s="7" t="b">
        <v>0</v>
      </c>
      <c r="R39" s="7" t="b">
        <v>0</v>
      </c>
      <c r="S39" s="7" t="b">
        <v>0</v>
      </c>
      <c r="T39" s="7" t="b">
        <v>0</v>
      </c>
      <c r="U39" s="7" t="b">
        <v>0</v>
      </c>
      <c r="V39" s="6" t="n">
        <v>0</v>
      </c>
      <c r="W39" s="17"/>
      <c r="X39" s="6" t="n">
        <v>0.5</v>
      </c>
      <c r="Y39" s="6" t="n">
        <v>6.96</v>
      </c>
      <c r="Z39" s="6" t="n">
        <f aca="false">(Y39*7.5006157584566)/X39</f>
        <v>104.408571357716</v>
      </c>
      <c r="AA39" s="6" t="n">
        <v>396</v>
      </c>
      <c r="AB39" s="6" t="n">
        <v>4990</v>
      </c>
      <c r="AC39" s="6" t="n">
        <v>42.56</v>
      </c>
      <c r="AD39" s="6" t="n">
        <v>36.4</v>
      </c>
      <c r="AE39" s="7" t="b">
        <v>0</v>
      </c>
      <c r="AF39" s="7" t="b">
        <v>1</v>
      </c>
      <c r="AG39" s="7" t="b">
        <v>1</v>
      </c>
      <c r="AH39" s="7" t="b">
        <v>0</v>
      </c>
      <c r="AI39" s="7" t="b">
        <v>1</v>
      </c>
      <c r="AJ39" s="7" t="b">
        <v>0</v>
      </c>
      <c r="AKX39" s="0"/>
      <c r="AKY39" s="0"/>
      <c r="AKZ39" s="0"/>
      <c r="ALA39" s="0"/>
      <c r="ALB39" s="0"/>
      <c r="ALC39" s="0"/>
      <c r="ALD39" s="0"/>
      <c r="ALE39" s="0"/>
      <c r="ALF39" s="0"/>
      <c r="ALG39" s="0"/>
      <c r="ALH39" s="0"/>
      <c r="ALI39" s="0"/>
      <c r="ALJ39" s="0"/>
      <c r="ALK39" s="0"/>
      <c r="ALL39" s="0"/>
      <c r="ALM39" s="0"/>
      <c r="ALN39" s="0"/>
      <c r="ALO39" s="0"/>
      <c r="ALP39" s="0"/>
      <c r="ALQ39" s="0"/>
      <c r="ALR39" s="0"/>
      <c r="ALS39" s="0"/>
      <c r="ALT39" s="0"/>
      <c r="ALU39" s="0"/>
      <c r="ALV39" s="0"/>
      <c r="ALW39" s="0"/>
      <c r="ALX39" s="0"/>
      <c r="ALY39" s="0"/>
      <c r="ALZ39" s="0"/>
      <c r="AMA39" s="0"/>
      <c r="AMB39" s="0"/>
      <c r="AMC39" s="0"/>
      <c r="AMD39" s="0"/>
      <c r="AME39" s="0"/>
      <c r="AMF39" s="0"/>
      <c r="AMG39" s="0"/>
      <c r="AMH39" s="0"/>
      <c r="AMI39" s="0"/>
      <c r="AMJ39" s="0"/>
    </row>
    <row r="40" s="14" customFormat="true" ht="12.8" hidden="false" customHeight="false" outlineLevel="0" collapsed="false">
      <c r="A40" s="18" t="n">
        <v>36</v>
      </c>
      <c r="B40" s="6" t="n">
        <v>1</v>
      </c>
      <c r="C40" s="7" t="b">
        <v>1</v>
      </c>
      <c r="D40" s="7" t="b">
        <v>0</v>
      </c>
      <c r="E40" s="7" t="b">
        <v>0</v>
      </c>
      <c r="F40" s="6" t="n">
        <v>52</v>
      </c>
      <c r="G40" s="6"/>
      <c r="H40" s="16" t="b">
        <v>1</v>
      </c>
      <c r="I40" s="7" t="b">
        <v>1</v>
      </c>
      <c r="J40" s="7" t="b">
        <v>0</v>
      </c>
      <c r="K40" s="7" t="b">
        <v>0</v>
      </c>
      <c r="L40" s="6" t="n">
        <v>66</v>
      </c>
      <c r="M40" s="6" t="n">
        <v>33.87878072</v>
      </c>
      <c r="N40" s="6" t="n">
        <v>0</v>
      </c>
      <c r="O40" s="7" t="b">
        <v>1</v>
      </c>
      <c r="P40" s="7" t="b">
        <v>0</v>
      </c>
      <c r="Q40" s="7" t="b">
        <v>0</v>
      </c>
      <c r="R40" s="7" t="b">
        <v>0</v>
      </c>
      <c r="S40" s="7" t="b">
        <v>0</v>
      </c>
      <c r="T40" s="7" t="b">
        <v>1</v>
      </c>
      <c r="U40" s="7" t="b">
        <v>0</v>
      </c>
      <c r="V40" s="6" t="n">
        <v>1</v>
      </c>
      <c r="W40" s="17" t="n">
        <v>10</v>
      </c>
      <c r="X40" s="6" t="n">
        <v>0.4</v>
      </c>
      <c r="Y40" s="6" t="n">
        <v>8.68</v>
      </c>
      <c r="Z40" s="6" t="n">
        <f aca="false">(Y40*7.5006157584566)/X40</f>
        <v>162.763361958508</v>
      </c>
      <c r="AA40" s="6" t="n">
        <v>241</v>
      </c>
      <c r="AB40" s="6" t="n">
        <v>1491</v>
      </c>
      <c r="AC40" s="6" t="n">
        <v>80</v>
      </c>
      <c r="AD40" s="6" t="n">
        <v>27.6</v>
      </c>
      <c r="AE40" s="7" t="b">
        <v>0</v>
      </c>
      <c r="AF40" s="7" t="b">
        <v>1</v>
      </c>
      <c r="AG40" s="7" t="b">
        <v>0</v>
      </c>
      <c r="AH40" s="7" t="b">
        <v>0</v>
      </c>
      <c r="AI40" s="7" t="b">
        <v>0</v>
      </c>
      <c r="AJ40" s="7" t="b">
        <v>0</v>
      </c>
      <c r="AKX40" s="0"/>
      <c r="AKY40" s="0"/>
      <c r="AKZ40" s="0"/>
      <c r="ALA40" s="0"/>
      <c r="ALB40" s="0"/>
      <c r="ALC40" s="0"/>
      <c r="ALD40" s="0"/>
      <c r="ALE40" s="0"/>
      <c r="ALF40" s="0"/>
      <c r="ALG40" s="0"/>
      <c r="ALH40" s="0"/>
      <c r="ALI40" s="0"/>
      <c r="ALJ40" s="0"/>
      <c r="ALK40" s="0"/>
      <c r="ALL40" s="0"/>
      <c r="ALM40" s="0"/>
      <c r="ALN40" s="0"/>
      <c r="ALO40" s="0"/>
      <c r="ALP40" s="0"/>
      <c r="ALQ40" s="0"/>
      <c r="ALR40" s="0"/>
      <c r="ALS40" s="0"/>
      <c r="ALT40" s="0"/>
      <c r="ALU40" s="0"/>
      <c r="ALV40" s="0"/>
      <c r="ALW40" s="0"/>
      <c r="ALX40" s="0"/>
      <c r="ALY40" s="0"/>
      <c r="ALZ40" s="0"/>
      <c r="AMA40" s="0"/>
      <c r="AMB40" s="0"/>
      <c r="AMC40" s="0"/>
      <c r="AMD40" s="0"/>
      <c r="AME40" s="0"/>
      <c r="AMF40" s="0"/>
      <c r="AMG40" s="0"/>
      <c r="AMH40" s="0"/>
      <c r="AMI40" s="0"/>
      <c r="AMJ40" s="0"/>
    </row>
    <row r="41" s="14" customFormat="true" ht="12.8" hidden="false" customHeight="false" outlineLevel="0" collapsed="false">
      <c r="A41" s="18" t="n">
        <v>38</v>
      </c>
      <c r="B41" s="6" t="n">
        <v>1</v>
      </c>
      <c r="C41" s="7" t="b">
        <v>1</v>
      </c>
      <c r="D41" s="7" t="b">
        <v>0</v>
      </c>
      <c r="E41" s="7" t="b">
        <v>0</v>
      </c>
      <c r="F41" s="6" t="n">
        <v>45</v>
      </c>
      <c r="G41" s="6"/>
      <c r="H41" s="16" t="b">
        <v>0</v>
      </c>
      <c r="I41" s="7" t="b">
        <v>1</v>
      </c>
      <c r="J41" s="7" t="b">
        <v>1</v>
      </c>
      <c r="K41" s="7" t="b">
        <v>0</v>
      </c>
      <c r="L41" s="6" t="n">
        <v>53</v>
      </c>
      <c r="M41" s="6" t="n">
        <v>31.55365915</v>
      </c>
      <c r="N41" s="6" t="n">
        <v>0</v>
      </c>
      <c r="O41" s="7" t="b">
        <v>0</v>
      </c>
      <c r="P41" s="7" t="b">
        <v>0</v>
      </c>
      <c r="Q41" s="7" t="b">
        <v>0</v>
      </c>
      <c r="R41" s="7" t="b">
        <v>0</v>
      </c>
      <c r="S41" s="7" t="b">
        <v>0</v>
      </c>
      <c r="T41" s="7" t="b">
        <v>0</v>
      </c>
      <c r="U41" s="7" t="b">
        <v>0</v>
      </c>
      <c r="V41" s="6" t="n">
        <v>0</v>
      </c>
      <c r="W41" s="17" t="n">
        <v>8</v>
      </c>
      <c r="X41" s="6" t="n">
        <v>0.5</v>
      </c>
      <c r="Y41" s="6" t="n">
        <v>12.46</v>
      </c>
      <c r="Z41" s="6" t="n">
        <f aca="false">(Y41*7.5006157584566)/X41</f>
        <v>186.915344700738</v>
      </c>
      <c r="AA41" s="6" t="n">
        <v>234</v>
      </c>
      <c r="AB41" s="6" t="n">
        <v>1757</v>
      </c>
      <c r="AC41" s="6" t="n">
        <v>19.08</v>
      </c>
      <c r="AD41" s="6" t="n">
        <v>37.3</v>
      </c>
      <c r="AE41" s="7" t="b">
        <v>0</v>
      </c>
      <c r="AF41" s="7" t="b">
        <v>0</v>
      </c>
      <c r="AG41" s="7" t="b">
        <v>1</v>
      </c>
      <c r="AH41" s="7" t="b">
        <v>0</v>
      </c>
      <c r="AI41" s="7" t="b">
        <v>1</v>
      </c>
      <c r="AJ41" s="7" t="b">
        <v>0</v>
      </c>
      <c r="AKX41" s="0"/>
      <c r="AKY41" s="0"/>
      <c r="AKZ41" s="0"/>
      <c r="ALA41" s="0"/>
      <c r="ALB41" s="0"/>
      <c r="ALC41" s="0"/>
      <c r="ALD41" s="0"/>
      <c r="ALE41" s="0"/>
      <c r="ALF41" s="0"/>
      <c r="ALG41" s="0"/>
      <c r="ALH41" s="0"/>
      <c r="ALI41" s="0"/>
      <c r="ALJ41" s="0"/>
      <c r="ALK41" s="0"/>
      <c r="ALL41" s="0"/>
      <c r="ALM41" s="0"/>
      <c r="ALN41" s="0"/>
      <c r="ALO41" s="0"/>
      <c r="ALP41" s="0"/>
      <c r="ALQ41" s="0"/>
      <c r="ALR41" s="0"/>
      <c r="ALS41" s="0"/>
      <c r="ALT41" s="0"/>
      <c r="ALU41" s="0"/>
      <c r="ALV41" s="0"/>
      <c r="ALW41" s="0"/>
      <c r="ALX41" s="0"/>
      <c r="ALY41" s="0"/>
      <c r="ALZ41" s="0"/>
      <c r="AMA41" s="0"/>
      <c r="AMB41" s="0"/>
      <c r="AMC41" s="0"/>
      <c r="AMD41" s="0"/>
      <c r="AME41" s="0"/>
      <c r="AMF41" s="0"/>
      <c r="AMG41" s="0"/>
      <c r="AMH41" s="0"/>
      <c r="AMI41" s="0"/>
      <c r="AMJ41" s="0"/>
    </row>
    <row r="42" s="14" customFormat="true" ht="12.8" hidden="false" customHeight="false" outlineLevel="0" collapsed="false">
      <c r="A42" s="18" t="n">
        <v>39</v>
      </c>
      <c r="B42" s="6" t="n">
        <v>1</v>
      </c>
      <c r="C42" s="7" t="b">
        <v>1</v>
      </c>
      <c r="D42" s="7" t="b">
        <v>0</v>
      </c>
      <c r="E42" s="7" t="b">
        <v>0</v>
      </c>
      <c r="F42" s="6" t="n">
        <v>37</v>
      </c>
      <c r="G42" s="6"/>
      <c r="H42" s="16" t="b">
        <v>1</v>
      </c>
      <c r="I42" s="7" t="b">
        <v>1</v>
      </c>
      <c r="J42" s="7" t="b">
        <v>1</v>
      </c>
      <c r="K42" s="7" t="b">
        <v>0</v>
      </c>
      <c r="L42" s="6" t="n">
        <v>48</v>
      </c>
      <c r="M42" s="6" t="n">
        <v>33.41240937</v>
      </c>
      <c r="N42" s="6" t="n">
        <v>0</v>
      </c>
      <c r="O42" s="7" t="b">
        <v>0</v>
      </c>
      <c r="P42" s="7" t="b">
        <v>0</v>
      </c>
      <c r="Q42" s="7" t="b">
        <v>0</v>
      </c>
      <c r="R42" s="7" t="b">
        <v>0</v>
      </c>
      <c r="S42" s="7" t="b">
        <v>0</v>
      </c>
      <c r="T42" s="7" t="b">
        <v>0</v>
      </c>
      <c r="U42" s="7" t="b">
        <v>0</v>
      </c>
      <c r="V42" s="6" t="n">
        <v>0</v>
      </c>
      <c r="W42" s="17" t="n">
        <v>15</v>
      </c>
      <c r="X42" s="6" t="n">
        <v>0.5</v>
      </c>
      <c r="Y42" s="6" t="n">
        <v>12.41</v>
      </c>
      <c r="Z42" s="6" t="n">
        <f aca="false">(Y42*7.5006157584566)/X42</f>
        <v>186.165283124893</v>
      </c>
      <c r="AA42" s="6" t="n">
        <v>205</v>
      </c>
      <c r="AB42" s="6" t="n">
        <v>1338</v>
      </c>
      <c r="AC42" s="6" t="n">
        <v>4.35</v>
      </c>
      <c r="AD42" s="6" t="n">
        <v>36.9</v>
      </c>
      <c r="AE42" s="7" t="b">
        <v>0</v>
      </c>
      <c r="AF42" s="7" t="b">
        <v>0</v>
      </c>
      <c r="AG42" s="7" t="b">
        <v>1</v>
      </c>
      <c r="AH42" s="7" t="b">
        <v>0</v>
      </c>
      <c r="AI42" s="7" t="b">
        <v>1</v>
      </c>
      <c r="AJ42" s="7" t="b">
        <v>0</v>
      </c>
      <c r="AKX42" s="0"/>
      <c r="AKY42" s="0"/>
      <c r="AKZ42" s="0"/>
      <c r="ALA42" s="0"/>
      <c r="ALB42" s="0"/>
      <c r="ALC42" s="0"/>
      <c r="ALD42" s="0"/>
      <c r="ALE42" s="0"/>
      <c r="ALF42" s="0"/>
      <c r="ALG42" s="0"/>
      <c r="ALH42" s="0"/>
      <c r="ALI42" s="0"/>
      <c r="ALJ42" s="0"/>
      <c r="ALK42" s="0"/>
      <c r="ALL42" s="0"/>
      <c r="ALM42" s="0"/>
      <c r="ALN42" s="0"/>
      <c r="ALO42" s="0"/>
      <c r="ALP42" s="0"/>
      <c r="ALQ42" s="0"/>
      <c r="ALR42" s="0"/>
      <c r="ALS42" s="0"/>
      <c r="ALT42" s="0"/>
      <c r="ALU42" s="0"/>
      <c r="ALV42" s="0"/>
      <c r="ALW42" s="0"/>
      <c r="ALX42" s="0"/>
      <c r="ALY42" s="0"/>
      <c r="ALZ42" s="0"/>
      <c r="AMA42" s="0"/>
      <c r="AMB42" s="0"/>
      <c r="AMC42" s="0"/>
      <c r="AMD42" s="0"/>
      <c r="AME42" s="0"/>
      <c r="AMF42" s="0"/>
      <c r="AMG42" s="0"/>
      <c r="AMH42" s="0"/>
      <c r="AMI42" s="0"/>
      <c r="AMJ42" s="0"/>
    </row>
    <row r="43" s="14" customFormat="true" ht="12.8" hidden="false" customHeight="false" outlineLevel="0" collapsed="false">
      <c r="A43" s="18" t="n">
        <v>40</v>
      </c>
      <c r="B43" s="6" t="n">
        <v>1</v>
      </c>
      <c r="C43" s="7" t="b">
        <v>1</v>
      </c>
      <c r="D43" s="7" t="b">
        <v>0</v>
      </c>
      <c r="E43" s="7" t="b">
        <v>0</v>
      </c>
      <c r="F43" s="6" t="n">
        <v>40</v>
      </c>
      <c r="G43" s="6"/>
      <c r="H43" s="16" t="b">
        <v>0</v>
      </c>
      <c r="I43" s="7"/>
      <c r="J43" s="7" t="b">
        <v>0</v>
      </c>
      <c r="K43" s="7" t="b">
        <v>1</v>
      </c>
      <c r="L43" s="6" t="n">
        <v>49</v>
      </c>
      <c r="M43" s="6" t="n">
        <v>35.88613407</v>
      </c>
      <c r="N43" s="6" t="n">
        <v>1</v>
      </c>
      <c r="O43" s="7" t="b">
        <v>1</v>
      </c>
      <c r="P43" s="7" t="b">
        <v>0</v>
      </c>
      <c r="Q43" s="7" t="b">
        <v>0</v>
      </c>
      <c r="R43" s="7" t="b">
        <v>0</v>
      </c>
      <c r="S43" s="7" t="b">
        <v>0</v>
      </c>
      <c r="T43" s="7" t="b">
        <v>0</v>
      </c>
      <c r="U43" s="7" t="b">
        <v>0</v>
      </c>
      <c r="V43" s="6" t="n">
        <v>1</v>
      </c>
      <c r="W43" s="17" t="n">
        <v>8</v>
      </c>
      <c r="X43" s="6" t="n">
        <v>0.6</v>
      </c>
      <c r="Y43" s="6" t="n">
        <v>13.32</v>
      </c>
      <c r="Z43" s="6" t="n">
        <f aca="false">(Y43*7.5006157584566)/X43</f>
        <v>166.513669837737</v>
      </c>
      <c r="AA43" s="6" t="n">
        <v>445</v>
      </c>
      <c r="AB43" s="6" t="n">
        <v>1259</v>
      </c>
      <c r="AC43" s="6" t="n">
        <v>1.8</v>
      </c>
      <c r="AD43" s="6" t="n">
        <v>37.4</v>
      </c>
      <c r="AE43" s="7" t="b">
        <v>0</v>
      </c>
      <c r="AF43" s="7" t="b">
        <v>0</v>
      </c>
      <c r="AG43" s="7" t="b">
        <v>0</v>
      </c>
      <c r="AH43" s="7" t="b">
        <v>0</v>
      </c>
      <c r="AI43" s="7" t="b">
        <v>1</v>
      </c>
      <c r="AJ43" s="7" t="b">
        <v>0</v>
      </c>
      <c r="AKX43" s="0"/>
      <c r="AKY43" s="0"/>
      <c r="AKZ43" s="0"/>
      <c r="ALA43" s="0"/>
      <c r="ALB43" s="0"/>
      <c r="ALC43" s="0"/>
      <c r="ALD43" s="0"/>
      <c r="ALE43" s="0"/>
      <c r="ALF43" s="0"/>
      <c r="ALG43" s="0"/>
      <c r="ALH43" s="0"/>
      <c r="ALI43" s="0"/>
      <c r="ALJ43" s="0"/>
      <c r="ALK43" s="0"/>
      <c r="ALL43" s="0"/>
      <c r="ALM43" s="0"/>
      <c r="ALN43" s="0"/>
      <c r="ALO43" s="0"/>
      <c r="ALP43" s="0"/>
      <c r="ALQ43" s="0"/>
      <c r="ALR43" s="0"/>
      <c r="ALS43" s="0"/>
      <c r="ALT43" s="0"/>
      <c r="ALU43" s="0"/>
      <c r="ALV43" s="0"/>
      <c r="ALW43" s="0"/>
      <c r="ALX43" s="0"/>
      <c r="ALY43" s="0"/>
      <c r="ALZ43" s="0"/>
      <c r="AMA43" s="0"/>
      <c r="AMB43" s="0"/>
      <c r="AMC43" s="0"/>
      <c r="AMD43" s="0"/>
      <c r="AME43" s="0"/>
      <c r="AMF43" s="0"/>
      <c r="AMG43" s="0"/>
      <c r="AMH43" s="0"/>
      <c r="AMI43" s="0"/>
      <c r="AMJ43" s="0"/>
    </row>
    <row r="44" s="14" customFormat="true" ht="12.8" hidden="false" customHeight="false" outlineLevel="0" collapsed="false">
      <c r="A44" s="18" t="n">
        <v>41</v>
      </c>
      <c r="B44" s="6" t="n">
        <v>1</v>
      </c>
      <c r="C44" s="7" t="b">
        <v>1</v>
      </c>
      <c r="D44" s="7" t="b">
        <v>0</v>
      </c>
      <c r="E44" s="7" t="b">
        <v>0</v>
      </c>
      <c r="F44" s="6" t="n">
        <v>60</v>
      </c>
      <c r="G44" s="6"/>
      <c r="H44" s="16" t="b">
        <v>0</v>
      </c>
      <c r="I44" s="7"/>
      <c r="J44" s="7" t="b">
        <v>1</v>
      </c>
      <c r="K44" s="7" t="b">
        <v>0</v>
      </c>
      <c r="L44" s="6" t="n">
        <v>56</v>
      </c>
      <c r="M44" s="6" t="n">
        <v>23.88946281</v>
      </c>
      <c r="N44" s="6" t="n">
        <v>2</v>
      </c>
      <c r="O44" s="7" t="b">
        <v>1</v>
      </c>
      <c r="P44" s="7" t="b">
        <v>1</v>
      </c>
      <c r="Q44" s="7" t="b">
        <v>1</v>
      </c>
      <c r="R44" s="7" t="b">
        <v>0</v>
      </c>
      <c r="S44" s="7" t="b">
        <v>0</v>
      </c>
      <c r="T44" s="7" t="b">
        <v>0</v>
      </c>
      <c r="U44" s="7" t="b">
        <v>0</v>
      </c>
      <c r="V44" s="6" t="n">
        <v>0</v>
      </c>
      <c r="W44" s="17" t="n">
        <v>8</v>
      </c>
      <c r="X44" s="6" t="n">
        <v>1</v>
      </c>
      <c r="Y44" s="6" t="n">
        <v>12.07</v>
      </c>
      <c r="Z44" s="6" t="n">
        <f aca="false">(Y44*7.5006157584566)/X44</f>
        <v>90.5324322045712</v>
      </c>
      <c r="AA44" s="6" t="n">
        <v>419</v>
      </c>
      <c r="AB44" s="6" t="n">
        <v>652</v>
      </c>
      <c r="AC44" s="6" t="n">
        <v>1.08</v>
      </c>
      <c r="AD44" s="6" t="n">
        <v>39.1</v>
      </c>
      <c r="AE44" s="7" t="b">
        <v>1</v>
      </c>
      <c r="AF44" s="7" t="b">
        <v>0</v>
      </c>
      <c r="AG44" s="7" t="b">
        <v>0</v>
      </c>
      <c r="AH44" s="7" t="b">
        <v>0</v>
      </c>
      <c r="AI44" s="7" t="b">
        <v>1</v>
      </c>
      <c r="AJ44" s="7" t="b">
        <v>0</v>
      </c>
      <c r="AKX44" s="0"/>
      <c r="AKY44" s="0"/>
      <c r="AKZ44" s="0"/>
      <c r="ALA44" s="0"/>
      <c r="ALB44" s="0"/>
      <c r="ALC44" s="0"/>
      <c r="ALD44" s="0"/>
      <c r="ALE44" s="0"/>
      <c r="ALF44" s="0"/>
      <c r="ALG44" s="0"/>
      <c r="ALH44" s="0"/>
      <c r="ALI44" s="0"/>
      <c r="ALJ44" s="0"/>
      <c r="ALK44" s="0"/>
      <c r="ALL44" s="0"/>
      <c r="ALM44" s="0"/>
      <c r="ALN44" s="0"/>
      <c r="ALO44" s="0"/>
      <c r="ALP44" s="0"/>
      <c r="ALQ44" s="0"/>
      <c r="ALR44" s="0"/>
      <c r="ALS44" s="0"/>
      <c r="ALT44" s="0"/>
      <c r="ALU44" s="0"/>
      <c r="ALV44" s="0"/>
      <c r="ALW44" s="0"/>
      <c r="ALX44" s="0"/>
      <c r="ALY44" s="0"/>
      <c r="ALZ44" s="0"/>
      <c r="AMA44" s="0"/>
      <c r="AMB44" s="0"/>
      <c r="AMC44" s="0"/>
      <c r="AMD44" s="0"/>
      <c r="AME44" s="0"/>
      <c r="AMF44" s="0"/>
      <c r="AMG44" s="0"/>
      <c r="AMH44" s="0"/>
      <c r="AMI44" s="0"/>
      <c r="AMJ44" s="0"/>
    </row>
    <row r="45" s="14" customFormat="true" ht="12.8" hidden="false" customHeight="false" outlineLevel="0" collapsed="false">
      <c r="A45" s="18" t="n">
        <v>42</v>
      </c>
      <c r="B45" s="6" t="n">
        <v>1</v>
      </c>
      <c r="C45" s="7" t="b">
        <v>1</v>
      </c>
      <c r="D45" s="7" t="b">
        <v>0</v>
      </c>
      <c r="E45" s="7" t="b">
        <v>0</v>
      </c>
      <c r="F45" s="6" t="n">
        <v>44</v>
      </c>
      <c r="G45" s="6"/>
      <c r="H45" s="16" t="b">
        <v>0</v>
      </c>
      <c r="I45" s="7" t="b">
        <v>1</v>
      </c>
      <c r="J45" s="7" t="b">
        <v>1</v>
      </c>
      <c r="K45" s="7" t="b">
        <v>1</v>
      </c>
      <c r="L45" s="6" t="n">
        <v>77</v>
      </c>
      <c r="M45" s="6" t="n">
        <v>22.89281998</v>
      </c>
      <c r="N45" s="6" t="n">
        <v>2</v>
      </c>
      <c r="O45" s="7" t="b">
        <v>1</v>
      </c>
      <c r="P45" s="7" t="b">
        <v>1</v>
      </c>
      <c r="Q45" s="7" t="b">
        <v>0</v>
      </c>
      <c r="R45" s="7" t="b">
        <v>0</v>
      </c>
      <c r="S45" s="7" t="b">
        <v>0</v>
      </c>
      <c r="T45" s="7" t="b">
        <v>0</v>
      </c>
      <c r="U45" s="7" t="b">
        <v>0</v>
      </c>
      <c r="V45" s="6" t="n">
        <v>0</v>
      </c>
      <c r="W45" s="17" t="n">
        <v>8</v>
      </c>
      <c r="X45" s="6" t="n">
        <v>0.3</v>
      </c>
      <c r="Y45" s="6" t="n">
        <v>10.25</v>
      </c>
      <c r="Z45" s="6" t="n">
        <f aca="false">(Y45*7.5006157584566)/X45</f>
        <v>256.271038413934</v>
      </c>
      <c r="AA45" s="6" t="n">
        <v>83</v>
      </c>
      <c r="AB45" s="6" t="n">
        <v>587</v>
      </c>
      <c r="AC45" s="6" t="n">
        <v>1.43</v>
      </c>
      <c r="AD45" s="6" t="n">
        <v>37.3</v>
      </c>
      <c r="AE45" s="7" t="b">
        <v>1</v>
      </c>
      <c r="AF45" s="7" t="b">
        <v>0</v>
      </c>
      <c r="AG45" s="7" t="b">
        <v>0</v>
      </c>
      <c r="AH45" s="7" t="b">
        <v>0</v>
      </c>
      <c r="AI45" s="7" t="b">
        <v>1</v>
      </c>
      <c r="AJ45" s="7" t="b">
        <v>0</v>
      </c>
      <c r="AKX45" s="0"/>
      <c r="AKY45" s="0"/>
      <c r="AKZ45" s="0"/>
      <c r="ALA45" s="0"/>
      <c r="ALB45" s="0"/>
      <c r="ALC45" s="0"/>
      <c r="ALD45" s="0"/>
      <c r="ALE45" s="0"/>
      <c r="ALF45" s="0"/>
      <c r="ALG45" s="0"/>
      <c r="ALH45" s="0"/>
      <c r="ALI45" s="0"/>
      <c r="ALJ45" s="0"/>
      <c r="ALK45" s="0"/>
      <c r="ALL45" s="0"/>
      <c r="ALM45" s="0"/>
      <c r="ALN45" s="0"/>
      <c r="ALO45" s="0"/>
      <c r="ALP45" s="0"/>
      <c r="ALQ45" s="0"/>
      <c r="ALR45" s="0"/>
      <c r="ALS45" s="0"/>
      <c r="ALT45" s="0"/>
      <c r="ALU45" s="0"/>
      <c r="ALV45" s="0"/>
      <c r="ALW45" s="0"/>
      <c r="ALX45" s="0"/>
      <c r="ALY45" s="0"/>
      <c r="ALZ45" s="0"/>
      <c r="AMA45" s="0"/>
      <c r="AMB45" s="0"/>
      <c r="AMC45" s="0"/>
      <c r="AMD45" s="0"/>
      <c r="AME45" s="0"/>
      <c r="AMF45" s="0"/>
      <c r="AMG45" s="0"/>
      <c r="AMH45" s="0"/>
      <c r="AMI45" s="0"/>
      <c r="AMJ45" s="0"/>
    </row>
    <row r="46" s="14" customFormat="true" ht="12.8" hidden="false" customHeight="false" outlineLevel="0" collapsed="false">
      <c r="A46" s="18" t="n">
        <v>43</v>
      </c>
      <c r="B46" s="6" t="n">
        <v>1</v>
      </c>
      <c r="C46" s="7" t="b">
        <v>1</v>
      </c>
      <c r="D46" s="7" t="b">
        <v>0</v>
      </c>
      <c r="E46" s="7" t="b">
        <v>0</v>
      </c>
      <c r="F46" s="6" t="n">
        <v>48</v>
      </c>
      <c r="G46" s="6"/>
      <c r="H46" s="16" t="b">
        <v>0</v>
      </c>
      <c r="I46" s="7" t="b">
        <v>1</v>
      </c>
      <c r="J46" s="7" t="b">
        <v>0</v>
      </c>
      <c r="K46" s="7" t="b">
        <v>0</v>
      </c>
      <c r="L46" s="6" t="n">
        <v>37</v>
      </c>
      <c r="M46" s="6" t="n">
        <v>29.72651605</v>
      </c>
      <c r="N46" s="6" t="n">
        <v>3</v>
      </c>
      <c r="O46" s="7" t="b">
        <v>0</v>
      </c>
      <c r="P46" s="7" t="b">
        <v>0</v>
      </c>
      <c r="Q46" s="7" t="b">
        <v>0</v>
      </c>
      <c r="R46" s="7" t="b">
        <v>0</v>
      </c>
      <c r="S46" s="7" t="b">
        <v>0</v>
      </c>
      <c r="T46" s="7" t="b">
        <v>0</v>
      </c>
      <c r="U46" s="7" t="b">
        <v>0</v>
      </c>
      <c r="V46" s="6" t="n">
        <v>0</v>
      </c>
      <c r="W46" s="17" t="n">
        <v>12</v>
      </c>
      <c r="X46" s="6" t="n">
        <v>0.6</v>
      </c>
      <c r="Y46" s="6" t="n">
        <v>13.26</v>
      </c>
      <c r="Z46" s="6" t="n">
        <f aca="false">(Y46*7.5006157584566)/X46</f>
        <v>165.763608261891</v>
      </c>
      <c r="AA46" s="6" t="n">
        <v>72</v>
      </c>
      <c r="AB46" s="6" t="n">
        <v>2769</v>
      </c>
      <c r="AC46" s="6" t="n">
        <v>1.71</v>
      </c>
      <c r="AD46" s="6" t="n">
        <v>38</v>
      </c>
      <c r="AE46" s="7" t="b">
        <v>0</v>
      </c>
      <c r="AF46" s="7" t="b">
        <v>0</v>
      </c>
      <c r="AG46" s="7" t="b">
        <v>0</v>
      </c>
      <c r="AH46" s="7" t="b">
        <v>0</v>
      </c>
      <c r="AI46" s="7" t="b">
        <v>1</v>
      </c>
      <c r="AJ46" s="7" t="b">
        <v>0</v>
      </c>
      <c r="AKX46" s="0"/>
      <c r="AKY46" s="0"/>
      <c r="AKZ46" s="0"/>
      <c r="ALA46" s="0"/>
      <c r="ALB46" s="0"/>
      <c r="ALC46" s="0"/>
      <c r="ALD46" s="0"/>
      <c r="ALE46" s="0"/>
      <c r="ALF46" s="0"/>
      <c r="ALG46" s="0"/>
      <c r="ALH46" s="0"/>
      <c r="ALI46" s="0"/>
      <c r="ALJ46" s="0"/>
      <c r="ALK46" s="0"/>
      <c r="ALL46" s="0"/>
      <c r="ALM46" s="0"/>
      <c r="ALN46" s="0"/>
      <c r="ALO46" s="0"/>
      <c r="ALP46" s="0"/>
      <c r="ALQ46" s="0"/>
      <c r="ALR46" s="0"/>
      <c r="ALS46" s="0"/>
      <c r="ALT46" s="0"/>
      <c r="ALU46" s="0"/>
      <c r="ALV46" s="0"/>
      <c r="ALW46" s="0"/>
      <c r="ALX46" s="0"/>
      <c r="ALY46" s="0"/>
      <c r="ALZ46" s="0"/>
      <c r="AMA46" s="0"/>
      <c r="AMB46" s="0"/>
      <c r="AMC46" s="0"/>
      <c r="AMD46" s="0"/>
      <c r="AME46" s="0"/>
      <c r="AMF46" s="0"/>
      <c r="AMG46" s="0"/>
      <c r="AMH46" s="0"/>
      <c r="AMI46" s="0"/>
      <c r="AMJ46" s="0"/>
    </row>
    <row r="47" s="14" customFormat="true" ht="12.8" hidden="false" customHeight="false" outlineLevel="0" collapsed="false">
      <c r="A47" s="18" t="n">
        <v>44</v>
      </c>
      <c r="B47" s="6" t="n">
        <v>1</v>
      </c>
      <c r="C47" s="7" t="b">
        <v>1</v>
      </c>
      <c r="D47" s="7" t="b">
        <v>0</v>
      </c>
      <c r="E47" s="7" t="b">
        <v>0</v>
      </c>
      <c r="F47" s="6" t="n">
        <v>29</v>
      </c>
      <c r="G47" s="6"/>
      <c r="H47" s="16" t="b">
        <v>1</v>
      </c>
      <c r="I47" s="7" t="b">
        <v>1</v>
      </c>
      <c r="J47" s="7" t="b">
        <v>1</v>
      </c>
      <c r="K47" s="7" t="b">
        <v>0</v>
      </c>
      <c r="L47" s="6" t="n">
        <v>28</v>
      </c>
      <c r="M47" s="6" t="n">
        <v>25.2493372</v>
      </c>
      <c r="N47" s="6" t="n">
        <v>2</v>
      </c>
      <c r="O47" s="7" t="b">
        <v>0</v>
      </c>
      <c r="P47" s="7" t="b">
        <v>0</v>
      </c>
      <c r="Q47" s="7" t="b">
        <v>0</v>
      </c>
      <c r="R47" s="7" t="b">
        <v>0</v>
      </c>
      <c r="S47" s="7" t="b">
        <v>0</v>
      </c>
      <c r="T47" s="7" t="b">
        <v>0</v>
      </c>
      <c r="U47" s="7" t="b">
        <v>0</v>
      </c>
      <c r="V47" s="6" t="n">
        <v>0</v>
      </c>
      <c r="W47" s="17" t="n">
        <v>12</v>
      </c>
      <c r="X47" s="6" t="n">
        <v>0.5</v>
      </c>
      <c r="Y47" s="6" t="n">
        <v>13.26</v>
      </c>
      <c r="Z47" s="6" t="n">
        <f aca="false">(Y47*7.5006157584566)/X47</f>
        <v>198.916329914269</v>
      </c>
      <c r="AA47" s="6" t="n">
        <v>83</v>
      </c>
      <c r="AB47" s="6" t="n">
        <v>3619</v>
      </c>
      <c r="AC47" s="6" t="n">
        <v>80</v>
      </c>
      <c r="AD47" s="6" t="n">
        <v>39</v>
      </c>
      <c r="AE47" s="7" t="b">
        <v>1</v>
      </c>
      <c r="AF47" s="7" t="b">
        <v>1</v>
      </c>
      <c r="AG47" s="7" t="b">
        <v>0</v>
      </c>
      <c r="AH47" s="7" t="b">
        <v>0</v>
      </c>
      <c r="AI47" s="7" t="b">
        <v>1</v>
      </c>
      <c r="AJ47" s="7" t="b">
        <v>0</v>
      </c>
      <c r="AKX47" s="0"/>
      <c r="AKY47" s="0"/>
      <c r="AKZ47" s="0"/>
      <c r="ALA47" s="0"/>
      <c r="ALB47" s="0"/>
      <c r="ALC47" s="0"/>
      <c r="ALD47" s="0"/>
      <c r="ALE47" s="0"/>
      <c r="ALF47" s="0"/>
      <c r="ALG47" s="0"/>
      <c r="ALH47" s="0"/>
      <c r="ALI47" s="0"/>
      <c r="ALJ47" s="0"/>
      <c r="ALK47" s="0"/>
      <c r="ALL47" s="0"/>
      <c r="ALM47" s="0"/>
      <c r="ALN47" s="0"/>
      <c r="ALO47" s="0"/>
      <c r="ALP47" s="0"/>
      <c r="ALQ47" s="0"/>
      <c r="ALR47" s="0"/>
      <c r="ALS47" s="0"/>
      <c r="ALT47" s="0"/>
      <c r="ALU47" s="0"/>
      <c r="ALV47" s="0"/>
      <c r="ALW47" s="0"/>
      <c r="ALX47" s="0"/>
      <c r="ALY47" s="0"/>
      <c r="ALZ47" s="0"/>
      <c r="AMA47" s="0"/>
      <c r="AMB47" s="0"/>
      <c r="AMC47" s="0"/>
      <c r="AMD47" s="0"/>
      <c r="AME47" s="0"/>
      <c r="AMF47" s="0"/>
      <c r="AMG47" s="0"/>
      <c r="AMH47" s="0"/>
      <c r="AMI47" s="0"/>
      <c r="AMJ47" s="0"/>
    </row>
    <row r="48" s="14" customFormat="true" ht="12.8" hidden="false" customHeight="false" outlineLevel="0" collapsed="false">
      <c r="A48" s="18" t="n">
        <v>45</v>
      </c>
      <c r="B48" s="6" t="n">
        <v>1</v>
      </c>
      <c r="C48" s="7" t="b">
        <v>1</v>
      </c>
      <c r="D48" s="7" t="b">
        <v>0</v>
      </c>
      <c r="E48" s="7" t="b">
        <v>0</v>
      </c>
      <c r="F48" s="6" t="n">
        <v>54</v>
      </c>
      <c r="G48" s="6"/>
      <c r="H48" s="16" t="b">
        <v>1</v>
      </c>
      <c r="I48" s="7" t="b">
        <v>1</v>
      </c>
      <c r="J48" s="7" t="b">
        <v>1</v>
      </c>
      <c r="K48" s="7" t="b">
        <v>1</v>
      </c>
      <c r="L48" s="6" t="n">
        <v>66</v>
      </c>
      <c r="M48" s="6" t="n">
        <v>23.62444749</v>
      </c>
      <c r="N48" s="6" t="n">
        <v>0</v>
      </c>
      <c r="O48" s="7" t="b">
        <v>1</v>
      </c>
      <c r="P48" s="7" t="b">
        <v>1</v>
      </c>
      <c r="Q48" s="7" t="b">
        <v>0</v>
      </c>
      <c r="R48" s="7" t="b">
        <v>0</v>
      </c>
      <c r="S48" s="7" t="b">
        <v>0</v>
      </c>
      <c r="T48" s="7" t="b">
        <v>0</v>
      </c>
      <c r="U48" s="7" t="b">
        <v>0</v>
      </c>
      <c r="V48" s="6" t="n">
        <v>0</v>
      </c>
      <c r="W48" s="17" t="n">
        <v>12</v>
      </c>
      <c r="X48" s="6" t="n">
        <v>0.5</v>
      </c>
      <c r="Y48" s="6" t="n">
        <v>10.53</v>
      </c>
      <c r="Z48" s="6" t="n">
        <f aca="false">(Y48*7.5006157584566)/X48</f>
        <v>157.962967873096</v>
      </c>
      <c r="AA48" s="6" t="n">
        <v>108</v>
      </c>
      <c r="AB48" s="6" t="n">
        <v>1203</v>
      </c>
      <c r="AC48" s="6" t="n">
        <v>18.56</v>
      </c>
      <c r="AD48" s="6" t="n">
        <v>38.8</v>
      </c>
      <c r="AE48" s="7" t="b">
        <v>1</v>
      </c>
      <c r="AF48" s="7" t="b">
        <v>0</v>
      </c>
      <c r="AG48" s="7" t="b">
        <v>0</v>
      </c>
      <c r="AH48" s="7" t="b">
        <v>0</v>
      </c>
      <c r="AI48" s="7" t="b">
        <v>1</v>
      </c>
      <c r="AJ48" s="7" t="b">
        <v>0</v>
      </c>
      <c r="AKX48" s="0"/>
      <c r="AKY48" s="0"/>
      <c r="AKZ48" s="0"/>
      <c r="ALA48" s="0"/>
      <c r="ALB48" s="0"/>
      <c r="ALC48" s="0"/>
      <c r="ALD48" s="0"/>
      <c r="ALE48" s="0"/>
      <c r="ALF48" s="0"/>
      <c r="ALG48" s="0"/>
      <c r="ALH48" s="0"/>
      <c r="ALI48" s="0"/>
      <c r="ALJ48" s="0"/>
      <c r="ALK48" s="0"/>
      <c r="ALL48" s="0"/>
      <c r="ALM48" s="0"/>
      <c r="ALN48" s="0"/>
      <c r="ALO48" s="0"/>
      <c r="ALP48" s="0"/>
      <c r="ALQ48" s="0"/>
      <c r="ALR48" s="0"/>
      <c r="ALS48" s="0"/>
      <c r="ALT48" s="0"/>
      <c r="ALU48" s="0"/>
      <c r="ALV48" s="0"/>
      <c r="ALW48" s="0"/>
      <c r="ALX48" s="0"/>
      <c r="ALY48" s="0"/>
      <c r="ALZ48" s="0"/>
      <c r="AMA48" s="0"/>
      <c r="AMB48" s="0"/>
      <c r="AMC48" s="0"/>
      <c r="AMD48" s="0"/>
      <c r="AME48" s="0"/>
      <c r="AMF48" s="0"/>
      <c r="AMG48" s="0"/>
      <c r="AMH48" s="0"/>
      <c r="AMI48" s="0"/>
      <c r="AMJ48" s="0"/>
    </row>
    <row r="49" s="14" customFormat="true" ht="12.8" hidden="false" customHeight="false" outlineLevel="0" collapsed="false">
      <c r="A49" s="18" t="n">
        <v>46</v>
      </c>
      <c r="B49" s="6" t="n">
        <v>1</v>
      </c>
      <c r="C49" s="7" t="b">
        <v>1</v>
      </c>
      <c r="D49" s="7" t="b">
        <v>0</v>
      </c>
      <c r="E49" s="7" t="b">
        <v>0</v>
      </c>
      <c r="F49" s="6" t="n">
        <v>48</v>
      </c>
      <c r="G49" s="6"/>
      <c r="H49" s="16" t="b">
        <v>1</v>
      </c>
      <c r="I49" s="7" t="b">
        <v>1</v>
      </c>
      <c r="J49" s="7" t="b">
        <v>1</v>
      </c>
      <c r="K49" s="7" t="b">
        <v>0</v>
      </c>
      <c r="L49" s="6" t="n">
        <v>57</v>
      </c>
      <c r="M49" s="6" t="n">
        <v>29.62962963</v>
      </c>
      <c r="N49" s="6" t="n">
        <v>0</v>
      </c>
      <c r="O49" s="7" t="b">
        <v>0</v>
      </c>
      <c r="P49" s="7" t="b">
        <v>0</v>
      </c>
      <c r="Q49" s="7" t="b">
        <v>0</v>
      </c>
      <c r="R49" s="7" t="b">
        <v>1</v>
      </c>
      <c r="S49" s="7" t="b">
        <v>1</v>
      </c>
      <c r="T49" s="7" t="b">
        <v>0</v>
      </c>
      <c r="U49" s="7" t="b">
        <v>0</v>
      </c>
      <c r="V49" s="6" t="n">
        <v>0</v>
      </c>
      <c r="W49" s="17" t="n">
        <v>10</v>
      </c>
      <c r="X49" s="6" t="n">
        <v>0.5</v>
      </c>
      <c r="Y49" s="6" t="n">
        <v>11.18</v>
      </c>
      <c r="Z49" s="6" t="n">
        <f aca="false">(Y49*7.5006157584566)/X49</f>
        <v>167.71376835909</v>
      </c>
      <c r="AA49" s="6" t="n">
        <v>196</v>
      </c>
      <c r="AB49" s="6" t="n">
        <v>988</v>
      </c>
      <c r="AC49" s="6" t="n">
        <v>7.94</v>
      </c>
      <c r="AD49" s="6" t="n">
        <v>38.6</v>
      </c>
      <c r="AE49" s="7" t="b">
        <v>0</v>
      </c>
      <c r="AF49" s="7" t="b">
        <v>0</v>
      </c>
      <c r="AG49" s="7" t="b">
        <v>0</v>
      </c>
      <c r="AH49" s="7" t="b">
        <v>0</v>
      </c>
      <c r="AI49" s="7" t="b">
        <v>0</v>
      </c>
      <c r="AJ49" s="7" t="b">
        <v>0</v>
      </c>
      <c r="AKX49" s="0"/>
      <c r="AKY49" s="0"/>
      <c r="AKZ49" s="0"/>
      <c r="ALA49" s="0"/>
      <c r="ALB49" s="0"/>
      <c r="ALC49" s="0"/>
      <c r="ALD49" s="0"/>
      <c r="ALE49" s="0"/>
      <c r="ALF49" s="0"/>
      <c r="ALG49" s="0"/>
      <c r="ALH49" s="0"/>
      <c r="ALI49" s="0"/>
      <c r="ALJ49" s="0"/>
      <c r="ALK49" s="0"/>
      <c r="ALL49" s="0"/>
      <c r="ALM49" s="0"/>
      <c r="ALN49" s="0"/>
      <c r="ALO49" s="0"/>
      <c r="ALP49" s="0"/>
      <c r="ALQ49" s="0"/>
      <c r="ALR49" s="0"/>
      <c r="ALS49" s="0"/>
      <c r="ALT49" s="0"/>
      <c r="ALU49" s="0"/>
      <c r="ALV49" s="0"/>
      <c r="ALW49" s="0"/>
      <c r="ALX49" s="0"/>
      <c r="ALY49" s="0"/>
      <c r="ALZ49" s="0"/>
      <c r="AMA49" s="0"/>
      <c r="AMB49" s="0"/>
      <c r="AMC49" s="0"/>
      <c r="AMD49" s="0"/>
      <c r="AME49" s="0"/>
      <c r="AMF49" s="0"/>
      <c r="AMG49" s="0"/>
      <c r="AMH49" s="0"/>
      <c r="AMI49" s="0"/>
      <c r="AMJ49" s="0"/>
    </row>
    <row r="50" s="14" customFormat="true" ht="12.8" hidden="false" customHeight="false" outlineLevel="0" collapsed="false">
      <c r="A50" s="18" t="n">
        <v>47</v>
      </c>
      <c r="B50" s="6" t="n">
        <v>1</v>
      </c>
      <c r="C50" s="7" t="b">
        <v>1</v>
      </c>
      <c r="D50" s="7" t="b">
        <v>0</v>
      </c>
      <c r="E50" s="7" t="b">
        <v>0</v>
      </c>
      <c r="F50" s="6" t="n">
        <v>33</v>
      </c>
      <c r="G50" s="6"/>
      <c r="H50" s="16" t="b">
        <v>1</v>
      </c>
      <c r="I50" s="7" t="b">
        <v>1</v>
      </c>
      <c r="J50" s="7" t="b">
        <v>1</v>
      </c>
      <c r="K50" s="7" t="b">
        <v>0</v>
      </c>
      <c r="L50" s="6" t="n">
        <v>35</v>
      </c>
      <c r="M50" s="6" t="n">
        <v>26.2345679</v>
      </c>
      <c r="N50" s="6" t="n">
        <v>2</v>
      </c>
      <c r="O50" s="7" t="b">
        <v>0</v>
      </c>
      <c r="P50" s="7" t="b">
        <v>0</v>
      </c>
      <c r="Q50" s="7" t="b">
        <v>0</v>
      </c>
      <c r="R50" s="7" t="b">
        <v>0</v>
      </c>
      <c r="S50" s="7" t="b">
        <v>0</v>
      </c>
      <c r="T50" s="7" t="b">
        <v>0</v>
      </c>
      <c r="U50" s="7" t="b">
        <v>0</v>
      </c>
      <c r="V50" s="6" t="n">
        <v>0</v>
      </c>
      <c r="W50" s="17" t="n">
        <v>15</v>
      </c>
      <c r="X50" s="6" t="n">
        <v>0.5</v>
      </c>
      <c r="Y50" s="6" t="n">
        <v>13.92</v>
      </c>
      <c r="Z50" s="6" t="n">
        <f aca="false">(Y50*7.5006157584566)/X50</f>
        <v>208.817142715432</v>
      </c>
      <c r="AA50" s="6" t="n">
        <v>141</v>
      </c>
      <c r="AB50" s="6" t="n">
        <v>1860</v>
      </c>
      <c r="AC50" s="6" t="n">
        <v>5.29</v>
      </c>
      <c r="AD50" s="6" t="n">
        <v>37.2</v>
      </c>
      <c r="AE50" s="7" t="b">
        <v>0</v>
      </c>
      <c r="AF50" s="7" t="b">
        <v>0</v>
      </c>
      <c r="AG50" s="7" t="b">
        <v>1</v>
      </c>
      <c r="AH50" s="7" t="b">
        <v>0</v>
      </c>
      <c r="AI50" s="7" t="b">
        <v>1</v>
      </c>
      <c r="AJ50" s="7" t="b">
        <v>0</v>
      </c>
      <c r="AKX50" s="0"/>
      <c r="AKY50" s="0"/>
      <c r="AKZ50" s="0"/>
      <c r="ALA50" s="0"/>
      <c r="ALB50" s="0"/>
      <c r="ALC50" s="0"/>
      <c r="ALD50" s="0"/>
      <c r="ALE50" s="0"/>
      <c r="ALF50" s="0"/>
      <c r="ALG50" s="0"/>
      <c r="ALH50" s="0"/>
      <c r="ALI50" s="0"/>
      <c r="ALJ50" s="0"/>
      <c r="ALK50" s="0"/>
      <c r="ALL50" s="0"/>
      <c r="ALM50" s="0"/>
      <c r="ALN50" s="0"/>
      <c r="ALO50" s="0"/>
      <c r="ALP50" s="0"/>
      <c r="ALQ50" s="0"/>
      <c r="ALR50" s="0"/>
      <c r="ALS50" s="0"/>
      <c r="ALT50" s="0"/>
      <c r="ALU50" s="0"/>
      <c r="ALV50" s="0"/>
      <c r="ALW50" s="0"/>
      <c r="ALX50" s="0"/>
      <c r="ALY50" s="0"/>
      <c r="ALZ50" s="0"/>
      <c r="AMA50" s="0"/>
      <c r="AMB50" s="0"/>
      <c r="AMC50" s="0"/>
      <c r="AMD50" s="0"/>
      <c r="AME50" s="0"/>
      <c r="AMF50" s="0"/>
      <c r="AMG50" s="0"/>
      <c r="AMH50" s="0"/>
      <c r="AMI50" s="0"/>
      <c r="AMJ50" s="0"/>
    </row>
    <row r="51" s="14" customFormat="true" ht="12.8" hidden="false" customHeight="false" outlineLevel="0" collapsed="false">
      <c r="A51" s="18" t="n">
        <v>49</v>
      </c>
      <c r="B51" s="6" t="n">
        <v>1</v>
      </c>
      <c r="C51" s="7" t="b">
        <v>1</v>
      </c>
      <c r="D51" s="7" t="b">
        <v>0</v>
      </c>
      <c r="E51" s="7" t="b">
        <v>0</v>
      </c>
      <c r="F51" s="6" t="n">
        <v>42</v>
      </c>
      <c r="G51" s="6"/>
      <c r="H51" s="16" t="b">
        <v>0</v>
      </c>
      <c r="I51" s="7" t="b">
        <v>1</v>
      </c>
      <c r="J51" s="7" t="b">
        <v>1</v>
      </c>
      <c r="K51" s="7" t="b">
        <v>0</v>
      </c>
      <c r="L51" s="6" t="n">
        <v>46</v>
      </c>
      <c r="M51" s="6" t="n">
        <v>24.69135802</v>
      </c>
      <c r="N51" s="6" t="n">
        <v>2</v>
      </c>
      <c r="O51" s="7" t="b">
        <v>0</v>
      </c>
      <c r="P51" s="7" t="b">
        <v>0</v>
      </c>
      <c r="Q51" s="7" t="b">
        <v>0</v>
      </c>
      <c r="R51" s="7" t="b">
        <v>0</v>
      </c>
      <c r="S51" s="7" t="b">
        <v>0</v>
      </c>
      <c r="T51" s="7" t="b">
        <v>0</v>
      </c>
      <c r="U51" s="7" t="b">
        <v>0</v>
      </c>
      <c r="V51" s="6" t="n">
        <v>0</v>
      </c>
      <c r="W51" s="17" t="n">
        <v>14</v>
      </c>
      <c r="X51" s="6" t="n">
        <v>0.5</v>
      </c>
      <c r="Y51" s="6" t="n">
        <v>11.67</v>
      </c>
      <c r="Z51" s="6" t="n">
        <f aca="false">(Y51*7.5006157584566)/X51</f>
        <v>175.064371802377</v>
      </c>
      <c r="AA51" s="6" t="n">
        <v>40</v>
      </c>
      <c r="AB51" s="6" t="n">
        <v>3389</v>
      </c>
      <c r="AC51" s="6" t="n">
        <v>12.97</v>
      </c>
      <c r="AD51" s="6" t="n">
        <v>36.4</v>
      </c>
      <c r="AE51" s="7" t="b">
        <v>0</v>
      </c>
      <c r="AF51" s="7" t="b">
        <v>0</v>
      </c>
      <c r="AG51" s="7" t="b">
        <v>1</v>
      </c>
      <c r="AH51" s="7" t="b">
        <v>1</v>
      </c>
      <c r="AI51" s="7" t="b">
        <v>0</v>
      </c>
      <c r="AJ51" s="7" t="b">
        <v>0</v>
      </c>
      <c r="AKX51" s="0"/>
      <c r="AKY51" s="0"/>
      <c r="AKZ51" s="0"/>
      <c r="ALA51" s="0"/>
      <c r="ALB51" s="0"/>
      <c r="ALC51" s="0"/>
      <c r="ALD51" s="0"/>
      <c r="ALE51" s="0"/>
      <c r="ALF51" s="0"/>
      <c r="ALG51" s="0"/>
      <c r="ALH51" s="0"/>
      <c r="ALI51" s="0"/>
      <c r="ALJ51" s="0"/>
      <c r="ALK51" s="0"/>
      <c r="ALL51" s="0"/>
      <c r="ALM51" s="0"/>
      <c r="ALN51" s="0"/>
      <c r="ALO51" s="0"/>
      <c r="ALP51" s="0"/>
      <c r="ALQ51" s="0"/>
      <c r="ALR51" s="0"/>
      <c r="ALS51" s="0"/>
      <c r="ALT51" s="0"/>
      <c r="ALU51" s="0"/>
      <c r="ALV51" s="0"/>
      <c r="ALW51" s="0"/>
      <c r="ALX51" s="0"/>
      <c r="ALY51" s="0"/>
      <c r="ALZ51" s="0"/>
      <c r="AMA51" s="0"/>
      <c r="AMB51" s="0"/>
      <c r="AMC51" s="0"/>
      <c r="AMD51" s="0"/>
      <c r="AME51" s="0"/>
      <c r="AMF51" s="0"/>
      <c r="AMG51" s="0"/>
      <c r="AMH51" s="0"/>
      <c r="AMI51" s="0"/>
      <c r="AMJ51" s="0"/>
    </row>
    <row r="52" s="14" customFormat="true" ht="12.8" hidden="false" customHeight="false" outlineLevel="0" collapsed="false">
      <c r="A52" s="18" t="n">
        <v>50</v>
      </c>
      <c r="B52" s="6" t="n">
        <v>1</v>
      </c>
      <c r="C52" s="7" t="b">
        <v>1</v>
      </c>
      <c r="D52" s="7" t="b">
        <v>0</v>
      </c>
      <c r="E52" s="7" t="b">
        <v>0</v>
      </c>
      <c r="F52" s="6" t="n">
        <v>37</v>
      </c>
      <c r="G52" s="6"/>
      <c r="H52" s="16" t="b">
        <v>1</v>
      </c>
      <c r="I52" s="7" t="b">
        <v>1</v>
      </c>
      <c r="J52" s="7" t="b">
        <v>1</v>
      </c>
      <c r="K52" s="7" t="b">
        <v>1</v>
      </c>
      <c r="L52" s="6" t="n">
        <v>66</v>
      </c>
      <c r="M52" s="6" t="n">
        <v>35.3798127</v>
      </c>
      <c r="N52" s="6" t="n">
        <v>0</v>
      </c>
      <c r="O52" s="7" t="b">
        <v>1</v>
      </c>
      <c r="P52" s="7" t="b">
        <v>0</v>
      </c>
      <c r="Q52" s="7" t="b">
        <v>0</v>
      </c>
      <c r="R52" s="7" t="b">
        <v>0</v>
      </c>
      <c r="S52" s="7" t="b">
        <v>0</v>
      </c>
      <c r="T52" s="7" t="b">
        <v>0</v>
      </c>
      <c r="U52" s="7" t="b">
        <v>0</v>
      </c>
      <c r="V52" s="6" t="n">
        <v>0</v>
      </c>
      <c r="W52" s="17"/>
      <c r="X52" s="6" t="n">
        <v>0.35</v>
      </c>
      <c r="Y52" s="6" t="n">
        <v>11.54</v>
      </c>
      <c r="Z52" s="6" t="n">
        <f aca="false">(Y52*7.5006157584566)/X52</f>
        <v>247.306016721683</v>
      </c>
      <c r="AA52" s="6" t="n">
        <v>281</v>
      </c>
      <c r="AB52" s="6" t="n">
        <v>7118</v>
      </c>
      <c r="AC52" s="6" t="n">
        <v>9.84</v>
      </c>
      <c r="AD52" s="6" t="n">
        <v>37.3</v>
      </c>
      <c r="AE52" s="7" t="b">
        <v>0</v>
      </c>
      <c r="AF52" s="7" t="b">
        <v>1</v>
      </c>
      <c r="AG52" s="7" t="b">
        <v>0</v>
      </c>
      <c r="AH52" s="7" t="b">
        <v>0</v>
      </c>
      <c r="AI52" s="7" t="b">
        <v>1</v>
      </c>
      <c r="AJ52" s="7" t="b">
        <v>0</v>
      </c>
      <c r="AKX52" s="0"/>
      <c r="AKY52" s="0"/>
      <c r="AKZ52" s="0"/>
      <c r="ALA52" s="0"/>
      <c r="ALB52" s="0"/>
      <c r="ALC52" s="0"/>
      <c r="ALD52" s="0"/>
      <c r="ALE52" s="0"/>
      <c r="ALF52" s="0"/>
      <c r="ALG52" s="0"/>
      <c r="ALH52" s="0"/>
      <c r="ALI52" s="0"/>
      <c r="ALJ52" s="0"/>
      <c r="ALK52" s="0"/>
      <c r="ALL52" s="0"/>
      <c r="ALM52" s="0"/>
      <c r="ALN52" s="0"/>
      <c r="ALO52" s="0"/>
      <c r="ALP52" s="0"/>
      <c r="ALQ52" s="0"/>
      <c r="ALR52" s="0"/>
      <c r="ALS52" s="0"/>
      <c r="ALT52" s="0"/>
      <c r="ALU52" s="0"/>
      <c r="ALV52" s="0"/>
      <c r="ALW52" s="0"/>
      <c r="ALX52" s="0"/>
      <c r="ALY52" s="0"/>
      <c r="ALZ52" s="0"/>
      <c r="AMA52" s="0"/>
      <c r="AMB52" s="0"/>
      <c r="AMC52" s="0"/>
      <c r="AMD52" s="0"/>
      <c r="AME52" s="0"/>
      <c r="AMF52" s="0"/>
      <c r="AMG52" s="0"/>
      <c r="AMH52" s="0"/>
      <c r="AMI52" s="0"/>
      <c r="AMJ52" s="0"/>
    </row>
    <row r="53" s="14" customFormat="true" ht="12.8" hidden="false" customHeight="false" outlineLevel="0" collapsed="false">
      <c r="A53" s="18" t="n">
        <v>51</v>
      </c>
      <c r="B53" s="6" t="n">
        <v>1</v>
      </c>
      <c r="C53" s="7" t="b">
        <v>1</v>
      </c>
      <c r="D53" s="7" t="b">
        <v>0</v>
      </c>
      <c r="E53" s="7" t="b">
        <v>0</v>
      </c>
      <c r="F53" s="6" t="n">
        <v>41</v>
      </c>
      <c r="G53" s="6"/>
      <c r="H53" s="16" t="b">
        <v>0</v>
      </c>
      <c r="I53" s="7" t="b">
        <v>0</v>
      </c>
      <c r="J53" s="7" t="b">
        <v>1</v>
      </c>
      <c r="K53" s="7" t="b">
        <v>0</v>
      </c>
      <c r="L53" s="6" t="n">
        <v>60</v>
      </c>
      <c r="M53" s="6" t="n">
        <v>30.86419753</v>
      </c>
      <c r="N53" s="6" t="n">
        <v>0</v>
      </c>
      <c r="O53" s="7" t="b">
        <v>0</v>
      </c>
      <c r="P53" s="7" t="b">
        <v>0</v>
      </c>
      <c r="Q53" s="7" t="b">
        <v>0</v>
      </c>
      <c r="R53" s="7" t="b">
        <v>0</v>
      </c>
      <c r="S53" s="7" t="b">
        <v>0</v>
      </c>
      <c r="T53" s="7" t="b">
        <v>0</v>
      </c>
      <c r="U53" s="7" t="b">
        <v>0</v>
      </c>
      <c r="V53" s="6" t="n">
        <v>0</v>
      </c>
      <c r="W53" s="17" t="n">
        <v>10</v>
      </c>
      <c r="X53" s="6" t="n">
        <v>0.6</v>
      </c>
      <c r="Y53" s="6" t="n">
        <v>8.86</v>
      </c>
      <c r="Z53" s="6" t="n">
        <f aca="false">(Y53*7.5006157584566)/X53</f>
        <v>110.759092699876</v>
      </c>
      <c r="AA53" s="6" t="n">
        <v>145</v>
      </c>
      <c r="AB53" s="6" t="n">
        <v>3964</v>
      </c>
      <c r="AC53" s="6" t="n">
        <v>6.07</v>
      </c>
      <c r="AD53" s="6" t="n">
        <v>37</v>
      </c>
      <c r="AE53" s="7" t="b">
        <v>0</v>
      </c>
      <c r="AF53" s="7" t="b">
        <v>0</v>
      </c>
      <c r="AG53" s="7" t="b">
        <v>0</v>
      </c>
      <c r="AH53" s="7" t="b">
        <v>1</v>
      </c>
      <c r="AI53" s="7" t="b">
        <v>1</v>
      </c>
      <c r="AJ53" s="7" t="b">
        <v>0</v>
      </c>
      <c r="AKX53" s="0"/>
      <c r="AKY53" s="0"/>
      <c r="AKZ53" s="0"/>
      <c r="ALA53" s="0"/>
      <c r="ALB53" s="0"/>
      <c r="ALC53" s="0"/>
      <c r="ALD53" s="0"/>
      <c r="ALE53" s="0"/>
      <c r="ALF53" s="0"/>
      <c r="ALG53" s="0"/>
      <c r="ALH53" s="0"/>
      <c r="ALI53" s="0"/>
      <c r="ALJ53" s="0"/>
      <c r="ALK53" s="0"/>
      <c r="ALL53" s="0"/>
      <c r="ALM53" s="0"/>
      <c r="ALN53" s="0"/>
      <c r="ALO53" s="0"/>
      <c r="ALP53" s="0"/>
      <c r="ALQ53" s="0"/>
      <c r="ALR53" s="0"/>
      <c r="ALS53" s="0"/>
      <c r="ALT53" s="0"/>
      <c r="ALU53" s="0"/>
      <c r="ALV53" s="0"/>
      <c r="ALW53" s="0"/>
      <c r="ALX53" s="0"/>
      <c r="ALY53" s="0"/>
      <c r="ALZ53" s="0"/>
      <c r="AMA53" s="0"/>
      <c r="AMB53" s="0"/>
      <c r="AMC53" s="0"/>
      <c r="AMD53" s="0"/>
      <c r="AME53" s="0"/>
      <c r="AMF53" s="0"/>
      <c r="AMG53" s="0"/>
      <c r="AMH53" s="0"/>
      <c r="AMI53" s="0"/>
      <c r="AMJ53" s="0"/>
    </row>
    <row r="54" s="14" customFormat="true" ht="12.8" hidden="false" customHeight="false" outlineLevel="0" collapsed="false">
      <c r="A54" s="18" t="n">
        <v>52</v>
      </c>
      <c r="B54" s="6" t="n">
        <v>1</v>
      </c>
      <c r="C54" s="7" t="b">
        <v>1</v>
      </c>
      <c r="D54" s="7" t="b">
        <v>0</v>
      </c>
      <c r="E54" s="7" t="b">
        <v>0</v>
      </c>
      <c r="F54" s="6" t="n">
        <v>32</v>
      </c>
      <c r="G54" s="6"/>
      <c r="H54" s="16" t="b">
        <v>0</v>
      </c>
      <c r="I54" s="7" t="b">
        <v>1</v>
      </c>
      <c r="J54" s="7" t="b">
        <v>1</v>
      </c>
      <c r="K54" s="7" t="b">
        <v>0</v>
      </c>
      <c r="L54" s="6" t="n">
        <v>31</v>
      </c>
      <c r="M54" s="6" t="n">
        <v>22.53061224</v>
      </c>
      <c r="N54" s="6" t="n">
        <v>2</v>
      </c>
      <c r="O54" s="7" t="b">
        <v>0</v>
      </c>
      <c r="P54" s="7" t="b">
        <v>0</v>
      </c>
      <c r="Q54" s="7" t="b">
        <v>0</v>
      </c>
      <c r="R54" s="7" t="b">
        <v>0</v>
      </c>
      <c r="S54" s="7" t="b">
        <v>0</v>
      </c>
      <c r="T54" s="7" t="b">
        <v>0</v>
      </c>
      <c r="U54" s="7" t="b">
        <v>0</v>
      </c>
      <c r="V54" s="6" t="n">
        <v>1</v>
      </c>
      <c r="W54" s="17" t="n">
        <v>8</v>
      </c>
      <c r="X54" s="6" t="n">
        <v>0.4</v>
      </c>
      <c r="Y54" s="6" t="n">
        <v>11.05</v>
      </c>
      <c r="Z54" s="6" t="n">
        <f aca="false">(Y54*7.5006157584566)/X54</f>
        <v>207.204510327364</v>
      </c>
      <c r="AA54" s="6" t="n">
        <v>111</v>
      </c>
      <c r="AB54" s="6" t="n">
        <v>2009</v>
      </c>
      <c r="AC54" s="6" t="n">
        <v>6.1</v>
      </c>
      <c r="AD54" s="6" t="n">
        <v>37.5</v>
      </c>
      <c r="AE54" s="7" t="b">
        <v>1</v>
      </c>
      <c r="AF54" s="7" t="b">
        <v>0</v>
      </c>
      <c r="AG54" s="7" t="b">
        <v>1</v>
      </c>
      <c r="AH54" s="7" t="b">
        <v>0</v>
      </c>
      <c r="AI54" s="7" t="b">
        <v>1</v>
      </c>
      <c r="AJ54" s="7" t="b">
        <v>0</v>
      </c>
      <c r="AKX54" s="0"/>
      <c r="AKY54" s="0"/>
      <c r="AKZ54" s="0"/>
      <c r="ALA54" s="0"/>
      <c r="ALB54" s="0"/>
      <c r="ALC54" s="0"/>
      <c r="ALD54" s="0"/>
      <c r="ALE54" s="0"/>
      <c r="ALF54" s="0"/>
      <c r="ALG54" s="0"/>
      <c r="ALH54" s="0"/>
      <c r="ALI54" s="0"/>
      <c r="ALJ54" s="0"/>
      <c r="ALK54" s="0"/>
      <c r="ALL54" s="0"/>
      <c r="ALM54" s="0"/>
      <c r="ALN54" s="0"/>
      <c r="ALO54" s="0"/>
      <c r="ALP54" s="0"/>
      <c r="ALQ54" s="0"/>
      <c r="ALR54" s="0"/>
      <c r="ALS54" s="0"/>
      <c r="ALT54" s="0"/>
      <c r="ALU54" s="0"/>
      <c r="ALV54" s="0"/>
      <c r="ALW54" s="0"/>
      <c r="ALX54" s="0"/>
      <c r="ALY54" s="0"/>
      <c r="ALZ54" s="0"/>
      <c r="AMA54" s="0"/>
      <c r="AMB54" s="0"/>
      <c r="AMC54" s="0"/>
      <c r="AMD54" s="0"/>
      <c r="AME54" s="0"/>
      <c r="AMF54" s="0"/>
      <c r="AMG54" s="0"/>
      <c r="AMH54" s="0"/>
      <c r="AMI54" s="0"/>
      <c r="AMJ54" s="0"/>
    </row>
    <row r="55" s="14" customFormat="true" ht="12.8" hidden="false" customHeight="false" outlineLevel="0" collapsed="false">
      <c r="A55" s="18" t="n">
        <v>53</v>
      </c>
      <c r="B55" s="6" t="n">
        <v>1</v>
      </c>
      <c r="C55" s="7" t="b">
        <v>1</v>
      </c>
      <c r="D55" s="7" t="b">
        <v>0</v>
      </c>
      <c r="E55" s="7" t="b">
        <v>0</v>
      </c>
      <c r="F55" s="6" t="n">
        <v>38</v>
      </c>
      <c r="G55" s="6"/>
      <c r="H55" s="16" t="b">
        <v>1</v>
      </c>
      <c r="I55" s="7" t="b">
        <v>1</v>
      </c>
      <c r="J55" s="7" t="b">
        <v>1</v>
      </c>
      <c r="K55" s="7" t="b">
        <v>1</v>
      </c>
      <c r="L55" s="6" t="n">
        <v>44</v>
      </c>
      <c r="M55" s="6" t="n">
        <v>31.14186851</v>
      </c>
      <c r="N55" s="6" t="n">
        <v>0</v>
      </c>
      <c r="O55" s="7" t="b">
        <v>0</v>
      </c>
      <c r="P55" s="7" t="b">
        <v>0</v>
      </c>
      <c r="Q55" s="7" t="b">
        <v>0</v>
      </c>
      <c r="R55" s="7" t="b">
        <v>0</v>
      </c>
      <c r="S55" s="7" t="b">
        <v>0</v>
      </c>
      <c r="T55" s="7" t="b">
        <v>0</v>
      </c>
      <c r="U55" s="7" t="b">
        <v>0</v>
      </c>
      <c r="V55" s="6" t="n">
        <v>0</v>
      </c>
      <c r="W55" s="17" t="n">
        <v>10</v>
      </c>
      <c r="X55" s="6" t="n">
        <v>0.4</v>
      </c>
      <c r="Y55" s="6" t="n">
        <v>19.32</v>
      </c>
      <c r="Z55" s="6" t="n">
        <f aca="false">(Y55*7.5006157584566)/X55</f>
        <v>362.279741133454</v>
      </c>
      <c r="AA55" s="6" t="n">
        <v>198</v>
      </c>
      <c r="AB55" s="6" t="n">
        <v>8046</v>
      </c>
      <c r="AC55" s="6" t="n">
        <v>35.47</v>
      </c>
      <c r="AD55" s="6" t="n">
        <v>35.3</v>
      </c>
      <c r="AE55" s="7" t="b">
        <v>1</v>
      </c>
      <c r="AF55" s="7" t="b">
        <v>0</v>
      </c>
      <c r="AG55" s="7" t="b">
        <v>1</v>
      </c>
      <c r="AH55" s="7" t="b">
        <v>0</v>
      </c>
      <c r="AI55" s="7" t="b">
        <v>1</v>
      </c>
      <c r="AJ55" s="7" t="b">
        <v>0</v>
      </c>
      <c r="AKX55" s="0"/>
      <c r="AKY55" s="0"/>
      <c r="AKZ55" s="0"/>
      <c r="ALA55" s="0"/>
      <c r="ALB55" s="0"/>
      <c r="ALC55" s="0"/>
      <c r="ALD55" s="0"/>
      <c r="ALE55" s="0"/>
      <c r="ALF55" s="0"/>
      <c r="ALG55" s="0"/>
      <c r="ALH55" s="0"/>
      <c r="ALI55" s="0"/>
      <c r="ALJ55" s="0"/>
      <c r="ALK55" s="0"/>
      <c r="ALL55" s="0"/>
      <c r="ALM55" s="0"/>
      <c r="ALN55" s="0"/>
      <c r="ALO55" s="0"/>
      <c r="ALP55" s="0"/>
      <c r="ALQ55" s="0"/>
      <c r="ALR55" s="0"/>
      <c r="ALS55" s="0"/>
      <c r="ALT55" s="0"/>
      <c r="ALU55" s="0"/>
      <c r="ALV55" s="0"/>
      <c r="ALW55" s="0"/>
      <c r="ALX55" s="0"/>
      <c r="ALY55" s="0"/>
      <c r="ALZ55" s="0"/>
      <c r="AMA55" s="0"/>
      <c r="AMB55" s="0"/>
      <c r="AMC55" s="0"/>
      <c r="AMD55" s="0"/>
      <c r="AME55" s="0"/>
      <c r="AMF55" s="0"/>
      <c r="AMG55" s="0"/>
      <c r="AMH55" s="0"/>
      <c r="AMI55" s="0"/>
      <c r="AMJ55" s="0"/>
    </row>
    <row r="56" s="14" customFormat="true" ht="12.8" hidden="false" customHeight="false" outlineLevel="0" collapsed="false">
      <c r="A56" s="18" t="n">
        <v>54</v>
      </c>
      <c r="B56" s="6" t="n">
        <v>1</v>
      </c>
      <c r="C56" s="7" t="b">
        <v>1</v>
      </c>
      <c r="D56" s="7" t="b">
        <v>0</v>
      </c>
      <c r="E56" s="7" t="b">
        <v>0</v>
      </c>
      <c r="F56" s="6" t="n">
        <v>50</v>
      </c>
      <c r="G56" s="6"/>
      <c r="H56" s="16" t="b">
        <v>0</v>
      </c>
      <c r="I56" s="7"/>
      <c r="J56" s="7" t="b">
        <v>1</v>
      </c>
      <c r="K56" s="7" t="b">
        <v>1</v>
      </c>
      <c r="L56" s="6" t="n">
        <v>52</v>
      </c>
      <c r="M56" s="6" t="n">
        <v>40.4040404</v>
      </c>
      <c r="N56" s="6" t="n">
        <v>0</v>
      </c>
      <c r="O56" s="7" t="b">
        <v>1</v>
      </c>
      <c r="P56" s="7" t="b">
        <v>0</v>
      </c>
      <c r="Q56" s="7" t="b">
        <v>0</v>
      </c>
      <c r="R56" s="7" t="b">
        <v>0</v>
      </c>
      <c r="S56" s="7" t="b">
        <v>0</v>
      </c>
      <c r="T56" s="7" t="b">
        <v>0</v>
      </c>
      <c r="U56" s="7" t="b">
        <v>0</v>
      </c>
      <c r="V56" s="6" t="n">
        <v>0</v>
      </c>
      <c r="W56" s="17" t="n">
        <v>10</v>
      </c>
      <c r="X56" s="6" t="n">
        <v>0.8</v>
      </c>
      <c r="Y56" s="6" t="n">
        <v>10.61</v>
      </c>
      <c r="Z56" s="6" t="n">
        <f aca="false">(Y56*7.5006157584566)/X56</f>
        <v>99.4769164965306</v>
      </c>
      <c r="AA56" s="6" t="n">
        <v>310</v>
      </c>
      <c r="AB56" s="6" t="n">
        <v>394</v>
      </c>
      <c r="AC56" s="6" t="n">
        <v>80</v>
      </c>
      <c r="AD56" s="6" t="n">
        <v>37.1</v>
      </c>
      <c r="AE56" s="7" t="b">
        <v>1</v>
      </c>
      <c r="AF56" s="7" t="b">
        <v>0</v>
      </c>
      <c r="AG56" s="7" t="b">
        <v>0</v>
      </c>
      <c r="AH56" s="7" t="b">
        <v>0</v>
      </c>
      <c r="AI56" s="7" t="b">
        <v>1</v>
      </c>
      <c r="AJ56" s="7" t="b">
        <v>0</v>
      </c>
      <c r="AKX56" s="0"/>
      <c r="AKY56" s="0"/>
      <c r="AKZ56" s="0"/>
      <c r="ALA56" s="0"/>
      <c r="ALB56" s="0"/>
      <c r="ALC56" s="0"/>
      <c r="ALD56" s="0"/>
      <c r="ALE56" s="0"/>
      <c r="ALF56" s="0"/>
      <c r="ALG56" s="0"/>
      <c r="ALH56" s="0"/>
      <c r="ALI56" s="0"/>
      <c r="ALJ56" s="0"/>
      <c r="ALK56" s="0"/>
      <c r="ALL56" s="0"/>
      <c r="ALM56" s="0"/>
      <c r="ALN56" s="0"/>
      <c r="ALO56" s="0"/>
      <c r="ALP56" s="0"/>
      <c r="ALQ56" s="0"/>
      <c r="ALR56" s="0"/>
      <c r="ALS56" s="0"/>
      <c r="ALT56" s="0"/>
      <c r="ALU56" s="0"/>
      <c r="ALV56" s="0"/>
      <c r="ALW56" s="0"/>
      <c r="ALX56" s="0"/>
      <c r="ALY56" s="0"/>
      <c r="ALZ56" s="0"/>
      <c r="AMA56" s="0"/>
      <c r="AMB56" s="0"/>
      <c r="AMC56" s="0"/>
      <c r="AMD56" s="0"/>
      <c r="AME56" s="0"/>
      <c r="AMF56" s="0"/>
      <c r="AMG56" s="0"/>
      <c r="AMH56" s="0"/>
      <c r="AMI56" s="0"/>
      <c r="AMJ56" s="0"/>
    </row>
    <row r="57" s="14" customFormat="true" ht="12.8" hidden="false" customHeight="false" outlineLevel="0" collapsed="false">
      <c r="A57" s="18" t="n">
        <v>55</v>
      </c>
      <c r="B57" s="6" t="n">
        <v>1</v>
      </c>
      <c r="C57" s="7" t="b">
        <v>1</v>
      </c>
      <c r="D57" s="7" t="b">
        <v>0</v>
      </c>
      <c r="E57" s="7" t="b">
        <v>0</v>
      </c>
      <c r="F57" s="6" t="n">
        <v>44</v>
      </c>
      <c r="G57" s="6"/>
      <c r="H57" s="16" t="b">
        <v>1</v>
      </c>
      <c r="I57" s="7" t="b">
        <v>0</v>
      </c>
      <c r="J57" s="7" t="b">
        <v>1</v>
      </c>
      <c r="K57" s="7" t="b">
        <v>0</v>
      </c>
      <c r="L57" s="6" t="n">
        <v>55</v>
      </c>
      <c r="M57" s="6" t="n">
        <v>29.06574394</v>
      </c>
      <c r="N57" s="6" t="n">
        <v>0</v>
      </c>
      <c r="O57" s="7" t="b">
        <v>1</v>
      </c>
      <c r="P57" s="7" t="b">
        <v>1</v>
      </c>
      <c r="Q57" s="7" t="b">
        <v>0</v>
      </c>
      <c r="R57" s="7" t="b">
        <v>0</v>
      </c>
      <c r="S57" s="7" t="b">
        <v>0</v>
      </c>
      <c r="T57" s="7" t="b">
        <v>0</v>
      </c>
      <c r="U57" s="7" t="b">
        <v>0</v>
      </c>
      <c r="V57" s="6" t="n">
        <v>0</v>
      </c>
      <c r="W57" s="17" t="n">
        <v>1</v>
      </c>
      <c r="X57" s="6" t="n">
        <v>0.5</v>
      </c>
      <c r="Y57" s="6" t="n">
        <v>8.8</v>
      </c>
      <c r="Z57" s="6" t="n">
        <f aca="false">(Y57*7.5006157584566)/X57</f>
        <v>132.010837348836</v>
      </c>
      <c r="AA57" s="6" t="n">
        <v>315</v>
      </c>
      <c r="AB57" s="6" t="n">
        <v>1275</v>
      </c>
      <c r="AC57" s="6" t="n">
        <v>39.23</v>
      </c>
      <c r="AD57" s="6" t="n">
        <v>35.8</v>
      </c>
      <c r="AE57" s="7" t="b">
        <v>1</v>
      </c>
      <c r="AF57" s="7" t="b">
        <v>1</v>
      </c>
      <c r="AG57" s="7" t="b">
        <v>0</v>
      </c>
      <c r="AH57" s="7" t="b">
        <v>1</v>
      </c>
      <c r="AI57" s="7" t="b">
        <v>1</v>
      </c>
      <c r="AJ57" s="7" t="b">
        <v>0</v>
      </c>
      <c r="AKX57" s="0"/>
      <c r="AKY57" s="0"/>
      <c r="AKZ57" s="0"/>
      <c r="ALA57" s="0"/>
      <c r="ALB57" s="0"/>
      <c r="ALC57" s="0"/>
      <c r="ALD57" s="0"/>
      <c r="ALE57" s="0"/>
      <c r="ALF57" s="0"/>
      <c r="ALG57" s="0"/>
      <c r="ALH57" s="0"/>
      <c r="ALI57" s="0"/>
      <c r="ALJ57" s="0"/>
      <c r="ALK57" s="0"/>
      <c r="ALL57" s="0"/>
      <c r="ALM57" s="0"/>
      <c r="ALN57" s="0"/>
      <c r="ALO57" s="0"/>
      <c r="ALP57" s="0"/>
      <c r="ALQ57" s="0"/>
      <c r="ALR57" s="0"/>
      <c r="ALS57" s="0"/>
      <c r="ALT57" s="0"/>
      <c r="ALU57" s="0"/>
      <c r="ALV57" s="0"/>
      <c r="ALW57" s="0"/>
      <c r="ALX57" s="0"/>
      <c r="ALY57" s="0"/>
      <c r="ALZ57" s="0"/>
      <c r="AMA57" s="0"/>
      <c r="AMB57" s="0"/>
      <c r="AMC57" s="0"/>
      <c r="AMD57" s="0"/>
      <c r="AME57" s="0"/>
      <c r="AMF57" s="0"/>
      <c r="AMG57" s="0"/>
      <c r="AMH57" s="0"/>
      <c r="AMI57" s="0"/>
      <c r="AMJ57" s="0"/>
    </row>
    <row r="58" s="14" customFormat="true" ht="12.8" hidden="false" customHeight="false" outlineLevel="0" collapsed="false">
      <c r="A58" s="18" t="n">
        <v>56</v>
      </c>
      <c r="B58" s="6" t="n">
        <v>1</v>
      </c>
      <c r="C58" s="7" t="b">
        <v>1</v>
      </c>
      <c r="D58" s="7" t="b">
        <v>0</v>
      </c>
      <c r="E58" s="7" t="b">
        <v>0</v>
      </c>
      <c r="F58" s="6" t="n">
        <v>47</v>
      </c>
      <c r="G58" s="6"/>
      <c r="H58" s="16" t="b">
        <v>0</v>
      </c>
      <c r="I58" s="7" t="b">
        <v>1</v>
      </c>
      <c r="J58" s="7" t="b">
        <v>0</v>
      </c>
      <c r="K58" s="7" t="b">
        <v>0</v>
      </c>
      <c r="L58" s="6" t="n">
        <v>57</v>
      </c>
      <c r="M58" s="6" t="n">
        <v>40.56959714</v>
      </c>
      <c r="N58" s="6" t="n">
        <v>2</v>
      </c>
      <c r="O58" s="7" t="b">
        <v>0</v>
      </c>
      <c r="P58" s="7" t="b">
        <v>0</v>
      </c>
      <c r="Q58" s="7" t="b">
        <v>0</v>
      </c>
      <c r="R58" s="7" t="b">
        <v>1</v>
      </c>
      <c r="S58" s="7" t="b">
        <v>0</v>
      </c>
      <c r="T58" s="7" t="b">
        <v>0</v>
      </c>
      <c r="U58" s="7" t="b">
        <v>0</v>
      </c>
      <c r="V58" s="6" t="n">
        <v>1</v>
      </c>
      <c r="W58" s="17" t="n">
        <v>12</v>
      </c>
      <c r="X58" s="6" t="n">
        <v>0.75</v>
      </c>
      <c r="Y58" s="6" t="n">
        <v>11.26</v>
      </c>
      <c r="Z58" s="6" t="n">
        <f aca="false">(Y58*7.5006157584566)/X58</f>
        <v>112.609244586962</v>
      </c>
      <c r="AA58" s="6" t="n">
        <v>117</v>
      </c>
      <c r="AB58" s="6" t="n">
        <v>269</v>
      </c>
      <c r="AC58" s="6" t="n">
        <v>9.62</v>
      </c>
      <c r="AD58" s="6" t="n">
        <v>37.4</v>
      </c>
      <c r="AE58" s="7" t="b">
        <v>1</v>
      </c>
      <c r="AF58" s="7" t="b">
        <v>0</v>
      </c>
      <c r="AG58" s="7" t="b">
        <v>0</v>
      </c>
      <c r="AH58" s="7" t="b">
        <v>0</v>
      </c>
      <c r="AI58" s="7" t="b">
        <v>1</v>
      </c>
      <c r="AJ58" s="7" t="b">
        <v>0</v>
      </c>
      <c r="AKX58" s="0"/>
      <c r="AKY58" s="0"/>
      <c r="AKZ58" s="0"/>
      <c r="ALA58" s="0"/>
      <c r="ALB58" s="0"/>
      <c r="ALC58" s="0"/>
      <c r="ALD58" s="0"/>
      <c r="ALE58" s="0"/>
      <c r="ALF58" s="0"/>
      <c r="ALG58" s="0"/>
      <c r="ALH58" s="0"/>
      <c r="ALI58" s="0"/>
      <c r="ALJ58" s="0"/>
      <c r="ALK58" s="0"/>
      <c r="ALL58" s="0"/>
      <c r="ALM58" s="0"/>
      <c r="ALN58" s="0"/>
      <c r="ALO58" s="0"/>
      <c r="ALP58" s="0"/>
      <c r="ALQ58" s="0"/>
      <c r="ALR58" s="0"/>
      <c r="ALS58" s="0"/>
      <c r="ALT58" s="0"/>
      <c r="ALU58" s="0"/>
      <c r="ALV58" s="0"/>
      <c r="ALW58" s="0"/>
      <c r="ALX58" s="0"/>
      <c r="ALY58" s="0"/>
      <c r="ALZ58" s="0"/>
      <c r="AMA58" s="0"/>
      <c r="AMB58" s="0"/>
      <c r="AMC58" s="0"/>
      <c r="AMD58" s="0"/>
      <c r="AME58" s="0"/>
      <c r="AMF58" s="0"/>
      <c r="AMG58" s="0"/>
      <c r="AMH58" s="0"/>
      <c r="AMI58" s="0"/>
      <c r="AMJ58" s="0"/>
    </row>
    <row r="59" s="14" customFormat="true" ht="12.8" hidden="false" customHeight="false" outlineLevel="0" collapsed="false">
      <c r="A59" s="18" t="n">
        <v>57</v>
      </c>
      <c r="B59" s="6" t="n">
        <v>1</v>
      </c>
      <c r="C59" s="7" t="b">
        <v>1</v>
      </c>
      <c r="D59" s="7" t="b">
        <v>0</v>
      </c>
      <c r="E59" s="7" t="b">
        <v>0</v>
      </c>
      <c r="F59" s="6" t="n">
        <v>38</v>
      </c>
      <c r="G59" s="6"/>
      <c r="H59" s="16" t="b">
        <v>0</v>
      </c>
      <c r="I59" s="7" t="b">
        <v>1</v>
      </c>
      <c r="J59" s="7" t="b">
        <v>0</v>
      </c>
      <c r="K59" s="7" t="b">
        <v>1</v>
      </c>
      <c r="L59" s="6" t="n">
        <v>26</v>
      </c>
      <c r="M59" s="6" t="n">
        <v>28.73174689</v>
      </c>
      <c r="N59" s="6" t="n">
        <v>0</v>
      </c>
      <c r="O59" s="7" t="b">
        <v>0</v>
      </c>
      <c r="P59" s="7" t="b">
        <v>0</v>
      </c>
      <c r="Q59" s="7" t="b">
        <v>0</v>
      </c>
      <c r="R59" s="7" t="b">
        <v>0</v>
      </c>
      <c r="S59" s="7" t="b">
        <v>0</v>
      </c>
      <c r="T59" s="7" t="b">
        <v>0</v>
      </c>
      <c r="U59" s="7" t="b">
        <v>0</v>
      </c>
      <c r="V59" s="6" t="n">
        <v>0</v>
      </c>
      <c r="W59" s="17" t="n">
        <v>10</v>
      </c>
      <c r="X59" s="6" t="n">
        <v>0.4</v>
      </c>
      <c r="Y59" s="6" t="n">
        <v>15.27</v>
      </c>
      <c r="Z59" s="6" t="n">
        <f aca="false">(Y59*7.5006157584566)/X59</f>
        <v>286.336006579081</v>
      </c>
      <c r="AA59" s="6" t="n">
        <v>164</v>
      </c>
      <c r="AB59" s="6" t="n">
        <v>7969</v>
      </c>
      <c r="AC59" s="6" t="n">
        <v>21.11</v>
      </c>
      <c r="AD59" s="6" t="n">
        <v>36.8</v>
      </c>
      <c r="AE59" s="7" t="b">
        <v>1</v>
      </c>
      <c r="AF59" s="7" t="b">
        <v>0</v>
      </c>
      <c r="AG59" s="7" t="b">
        <v>1</v>
      </c>
      <c r="AH59" s="7" t="b">
        <v>0</v>
      </c>
      <c r="AI59" s="7" t="b">
        <v>1</v>
      </c>
      <c r="AJ59" s="7" t="b">
        <v>0</v>
      </c>
      <c r="AKX59" s="0"/>
      <c r="AKY59" s="0"/>
      <c r="AKZ59" s="0"/>
      <c r="ALA59" s="0"/>
      <c r="ALB59" s="0"/>
      <c r="ALC59" s="0"/>
      <c r="ALD59" s="0"/>
      <c r="ALE59" s="0"/>
      <c r="ALF59" s="0"/>
      <c r="ALG59" s="0"/>
      <c r="ALH59" s="0"/>
      <c r="ALI59" s="0"/>
      <c r="ALJ59" s="0"/>
      <c r="ALK59" s="0"/>
      <c r="ALL59" s="0"/>
      <c r="ALM59" s="0"/>
      <c r="ALN59" s="0"/>
      <c r="ALO59" s="0"/>
      <c r="ALP59" s="0"/>
      <c r="ALQ59" s="0"/>
      <c r="ALR59" s="0"/>
      <c r="ALS59" s="0"/>
      <c r="ALT59" s="0"/>
      <c r="ALU59" s="0"/>
      <c r="ALV59" s="0"/>
      <c r="ALW59" s="0"/>
      <c r="ALX59" s="0"/>
      <c r="ALY59" s="0"/>
      <c r="ALZ59" s="0"/>
      <c r="AMA59" s="0"/>
      <c r="AMB59" s="0"/>
      <c r="AMC59" s="0"/>
      <c r="AMD59" s="0"/>
      <c r="AME59" s="0"/>
      <c r="AMF59" s="0"/>
      <c r="AMG59" s="0"/>
      <c r="AMH59" s="0"/>
      <c r="AMI59" s="0"/>
      <c r="AMJ59" s="0"/>
    </row>
    <row r="60" s="14" customFormat="true" ht="12.8" hidden="false" customHeight="false" outlineLevel="0" collapsed="false">
      <c r="A60" s="18" t="n">
        <v>58</v>
      </c>
      <c r="B60" s="6" t="n">
        <v>1</v>
      </c>
      <c r="C60" s="7" t="b">
        <v>1</v>
      </c>
      <c r="D60" s="7" t="b">
        <v>0</v>
      </c>
      <c r="E60" s="7" t="b">
        <v>0</v>
      </c>
      <c r="F60" s="6" t="n">
        <v>47</v>
      </c>
      <c r="G60" s="6"/>
      <c r="H60" s="16" t="b">
        <v>1</v>
      </c>
      <c r="I60" s="7" t="b">
        <v>1</v>
      </c>
      <c r="J60" s="7" t="b">
        <v>1</v>
      </c>
      <c r="K60" s="7" t="b">
        <v>0</v>
      </c>
      <c r="L60" s="6" t="n">
        <v>62</v>
      </c>
      <c r="M60" s="6" t="n">
        <v>24.69135802</v>
      </c>
      <c r="N60" s="6" t="n">
        <v>0</v>
      </c>
      <c r="O60" s="7" t="b">
        <v>0</v>
      </c>
      <c r="P60" s="7" t="b">
        <v>0</v>
      </c>
      <c r="Q60" s="7" t="b">
        <v>0</v>
      </c>
      <c r="R60" s="7" t="b">
        <v>0</v>
      </c>
      <c r="S60" s="7" t="b">
        <v>0</v>
      </c>
      <c r="T60" s="7" t="b">
        <v>0</v>
      </c>
      <c r="U60" s="7" t="b">
        <v>0</v>
      </c>
      <c r="V60" s="6" t="n">
        <v>0</v>
      </c>
      <c r="W60" s="17" t="n">
        <v>10</v>
      </c>
      <c r="X60" s="6" t="n">
        <v>0.7</v>
      </c>
      <c r="Y60" s="6" t="n">
        <v>11.2</v>
      </c>
      <c r="Z60" s="6" t="n">
        <f aca="false">(Y60*7.5006157584566)/X60</f>
        <v>120.009852135306</v>
      </c>
      <c r="AA60" s="6" t="n">
        <v>268</v>
      </c>
      <c r="AB60" s="6" t="n">
        <v>1243</v>
      </c>
      <c r="AC60" s="6" t="n">
        <v>69.44</v>
      </c>
      <c r="AD60" s="6" t="n">
        <v>39</v>
      </c>
      <c r="AE60" s="7" t="b">
        <v>1</v>
      </c>
      <c r="AF60" s="7" t="b">
        <v>0</v>
      </c>
      <c r="AG60" s="7" t="b">
        <v>0</v>
      </c>
      <c r="AH60" s="7" t="b">
        <v>0</v>
      </c>
      <c r="AI60" s="7" t="b">
        <v>1</v>
      </c>
      <c r="AJ60" s="7" t="b">
        <v>0</v>
      </c>
      <c r="AKX60" s="0"/>
      <c r="AKY60" s="0"/>
      <c r="AKZ60" s="0"/>
      <c r="ALA60" s="0"/>
      <c r="ALB60" s="0"/>
      <c r="ALC60" s="0"/>
      <c r="ALD60" s="0"/>
      <c r="ALE60" s="0"/>
      <c r="ALF60" s="0"/>
      <c r="ALG60" s="0"/>
      <c r="ALH60" s="0"/>
      <c r="ALI60" s="0"/>
      <c r="ALJ60" s="0"/>
      <c r="ALK60" s="0"/>
      <c r="ALL60" s="0"/>
      <c r="ALM60" s="0"/>
      <c r="ALN60" s="0"/>
      <c r="ALO60" s="0"/>
      <c r="ALP60" s="0"/>
      <c r="ALQ60" s="0"/>
      <c r="ALR60" s="0"/>
      <c r="ALS60" s="0"/>
      <c r="ALT60" s="0"/>
      <c r="ALU60" s="0"/>
      <c r="ALV60" s="0"/>
      <c r="ALW60" s="0"/>
      <c r="ALX60" s="0"/>
      <c r="ALY60" s="0"/>
      <c r="ALZ60" s="0"/>
      <c r="AMA60" s="0"/>
      <c r="AMB60" s="0"/>
      <c r="AMC60" s="0"/>
      <c r="AMD60" s="0"/>
      <c r="AME60" s="0"/>
      <c r="AMF60" s="0"/>
      <c r="AMG60" s="0"/>
      <c r="AMH60" s="0"/>
      <c r="AMI60" s="0"/>
      <c r="AMJ60" s="0"/>
    </row>
    <row r="61" s="14" customFormat="true" ht="12.8" hidden="false" customHeight="false" outlineLevel="0" collapsed="false">
      <c r="A61" s="18" t="n">
        <v>59</v>
      </c>
      <c r="B61" s="6" t="n">
        <v>1</v>
      </c>
      <c r="C61" s="7" t="b">
        <v>1</v>
      </c>
      <c r="D61" s="7" t="b">
        <v>0</v>
      </c>
      <c r="E61" s="7" t="b">
        <v>0</v>
      </c>
      <c r="F61" s="6" t="n">
        <v>40</v>
      </c>
      <c r="G61" s="6"/>
      <c r="H61" s="16" t="b">
        <v>0</v>
      </c>
      <c r="I61" s="7" t="b">
        <v>1</v>
      </c>
      <c r="J61" s="7" t="b">
        <v>0</v>
      </c>
      <c r="K61" s="7" t="b">
        <v>1</v>
      </c>
      <c r="L61" s="6" t="n">
        <v>63</v>
      </c>
      <c r="M61" s="6" t="n">
        <v>27.6816609</v>
      </c>
      <c r="N61" s="6" t="n">
        <v>0</v>
      </c>
      <c r="O61" s="7" t="b">
        <v>1</v>
      </c>
      <c r="P61" s="7" t="b">
        <v>1</v>
      </c>
      <c r="Q61" s="7" t="b">
        <v>1</v>
      </c>
      <c r="R61" s="7" t="b">
        <v>0</v>
      </c>
      <c r="S61" s="7" t="b">
        <v>0</v>
      </c>
      <c r="T61" s="7" t="b">
        <v>0</v>
      </c>
      <c r="U61" s="7" t="b">
        <v>0</v>
      </c>
      <c r="V61" s="6" t="n">
        <v>1</v>
      </c>
      <c r="W61" s="17" t="n">
        <v>8</v>
      </c>
      <c r="X61" s="6" t="n">
        <v>0.35</v>
      </c>
      <c r="Y61" s="6" t="n">
        <v>10.3</v>
      </c>
      <c r="Z61" s="6" t="n">
        <f aca="false">(Y61*7.5006157584566)/X61</f>
        <v>220.732406606009</v>
      </c>
      <c r="AA61" s="6" t="n">
        <v>149</v>
      </c>
      <c r="AB61" s="6" t="n">
        <v>424</v>
      </c>
      <c r="AC61" s="6" t="n">
        <v>4.94</v>
      </c>
      <c r="AD61" s="6" t="n">
        <v>38.2</v>
      </c>
      <c r="AE61" s="7" t="b">
        <v>0</v>
      </c>
      <c r="AF61" s="7" t="b">
        <v>0</v>
      </c>
      <c r="AG61" s="7" t="b">
        <v>0</v>
      </c>
      <c r="AH61" s="7" t="b">
        <v>0</v>
      </c>
      <c r="AI61" s="7" t="b">
        <v>0</v>
      </c>
      <c r="AJ61" s="7" t="b">
        <v>0</v>
      </c>
      <c r="AKX61" s="0"/>
      <c r="AKY61" s="0"/>
      <c r="AKZ61" s="0"/>
      <c r="ALA61" s="0"/>
      <c r="ALB61" s="0"/>
      <c r="ALC61" s="0"/>
      <c r="ALD61" s="0"/>
      <c r="ALE61" s="0"/>
      <c r="ALF61" s="0"/>
      <c r="ALG61" s="0"/>
      <c r="ALH61" s="0"/>
      <c r="ALI61" s="0"/>
      <c r="ALJ61" s="0"/>
      <c r="ALK61" s="0"/>
      <c r="ALL61" s="0"/>
      <c r="ALM61" s="0"/>
      <c r="ALN61" s="0"/>
      <c r="ALO61" s="0"/>
      <c r="ALP61" s="0"/>
      <c r="ALQ61" s="0"/>
      <c r="ALR61" s="0"/>
      <c r="ALS61" s="0"/>
      <c r="ALT61" s="0"/>
      <c r="ALU61" s="0"/>
      <c r="ALV61" s="0"/>
      <c r="ALW61" s="0"/>
      <c r="ALX61" s="0"/>
      <c r="ALY61" s="0"/>
      <c r="ALZ61" s="0"/>
      <c r="AMA61" s="0"/>
      <c r="AMB61" s="0"/>
      <c r="AMC61" s="0"/>
      <c r="AMD61" s="0"/>
      <c r="AME61" s="0"/>
      <c r="AMF61" s="0"/>
      <c r="AMG61" s="0"/>
      <c r="AMH61" s="0"/>
      <c r="AMI61" s="0"/>
      <c r="AMJ61" s="0"/>
    </row>
    <row r="62" s="14" customFormat="true" ht="12.8" hidden="false" customHeight="false" outlineLevel="0" collapsed="false">
      <c r="A62" s="18" t="n">
        <v>60</v>
      </c>
      <c r="B62" s="6" t="n">
        <v>1</v>
      </c>
      <c r="C62" s="7" t="b">
        <v>1</v>
      </c>
      <c r="D62" s="7" t="b">
        <v>0</v>
      </c>
      <c r="E62" s="7" t="b">
        <v>0</v>
      </c>
      <c r="F62" s="6" t="n">
        <v>38</v>
      </c>
      <c r="G62" s="6"/>
      <c r="H62" s="16" t="b">
        <v>1</v>
      </c>
      <c r="I62" s="7"/>
      <c r="J62" s="7" t="b">
        <v>1</v>
      </c>
      <c r="K62" s="7" t="b">
        <v>0</v>
      </c>
      <c r="L62" s="6" t="n">
        <v>58</v>
      </c>
      <c r="M62" s="6" t="n">
        <v>23.1856056</v>
      </c>
      <c r="N62" s="6" t="n">
        <v>1</v>
      </c>
      <c r="O62" s="7" t="b">
        <v>0</v>
      </c>
      <c r="P62" s="7" t="b">
        <v>0</v>
      </c>
      <c r="Q62" s="7" t="b">
        <v>0</v>
      </c>
      <c r="R62" s="7" t="b">
        <v>0</v>
      </c>
      <c r="S62" s="7" t="b">
        <v>1</v>
      </c>
      <c r="T62" s="7" t="b">
        <v>0</v>
      </c>
      <c r="U62" s="7" t="b">
        <v>0</v>
      </c>
      <c r="V62" s="6" t="n">
        <v>0</v>
      </c>
      <c r="W62" s="17" t="n">
        <v>12</v>
      </c>
      <c r="X62" s="6" t="n">
        <v>0.8</v>
      </c>
      <c r="Y62" s="6" t="n">
        <v>12.73</v>
      </c>
      <c r="Z62" s="6" t="n">
        <f aca="false">(Y62*7.5006157584566)/X62</f>
        <v>119.353548256441</v>
      </c>
      <c r="AA62" s="6" t="n">
        <v>151</v>
      </c>
      <c r="AB62" s="6" t="n">
        <v>491</v>
      </c>
      <c r="AC62" s="6" t="n">
        <v>1.71</v>
      </c>
      <c r="AD62" s="6" t="n">
        <v>36.9</v>
      </c>
      <c r="AE62" s="7" t="b">
        <v>0</v>
      </c>
      <c r="AF62" s="7" t="b">
        <v>0</v>
      </c>
      <c r="AG62" s="7" t="b">
        <v>0</v>
      </c>
      <c r="AH62" s="7" t="b">
        <v>1</v>
      </c>
      <c r="AI62" s="7" t="b">
        <v>1</v>
      </c>
      <c r="AJ62" s="7" t="b">
        <v>0</v>
      </c>
      <c r="AKX62" s="0"/>
      <c r="AKY62" s="0"/>
      <c r="AKZ62" s="0"/>
      <c r="ALA62" s="0"/>
      <c r="ALB62" s="0"/>
      <c r="ALC62" s="0"/>
      <c r="ALD62" s="0"/>
      <c r="ALE62" s="0"/>
      <c r="ALF62" s="0"/>
      <c r="ALG62" s="0"/>
      <c r="ALH62" s="0"/>
      <c r="ALI62" s="0"/>
      <c r="ALJ62" s="0"/>
      <c r="ALK62" s="0"/>
      <c r="ALL62" s="0"/>
      <c r="ALM62" s="0"/>
      <c r="ALN62" s="0"/>
      <c r="ALO62" s="0"/>
      <c r="ALP62" s="0"/>
      <c r="ALQ62" s="0"/>
      <c r="ALR62" s="0"/>
      <c r="ALS62" s="0"/>
      <c r="ALT62" s="0"/>
      <c r="ALU62" s="0"/>
      <c r="ALV62" s="0"/>
      <c r="ALW62" s="0"/>
      <c r="ALX62" s="0"/>
      <c r="ALY62" s="0"/>
      <c r="ALZ62" s="0"/>
      <c r="AMA62" s="0"/>
      <c r="AMB62" s="0"/>
      <c r="AMC62" s="0"/>
      <c r="AMD62" s="0"/>
      <c r="AME62" s="0"/>
      <c r="AMF62" s="0"/>
      <c r="AMG62" s="0"/>
      <c r="AMH62" s="0"/>
      <c r="AMI62" s="0"/>
      <c r="AMJ62" s="0"/>
    </row>
    <row r="63" s="14" customFormat="true" ht="12.8" hidden="false" customHeight="false" outlineLevel="0" collapsed="false">
      <c r="A63" s="18" t="n">
        <v>61</v>
      </c>
      <c r="B63" s="6" t="n">
        <v>1</v>
      </c>
      <c r="C63" s="7" t="b">
        <v>1</v>
      </c>
      <c r="D63" s="7" t="b">
        <v>0</v>
      </c>
      <c r="E63" s="7" t="b">
        <v>0</v>
      </c>
      <c r="F63" s="6" t="n">
        <v>42</v>
      </c>
      <c r="G63" s="6"/>
      <c r="H63" s="16" t="b">
        <v>1</v>
      </c>
      <c r="I63" s="7" t="b">
        <v>0</v>
      </c>
      <c r="J63" s="7" t="b">
        <v>1</v>
      </c>
      <c r="K63" s="7" t="b">
        <v>1</v>
      </c>
      <c r="L63" s="6" t="n">
        <v>31</v>
      </c>
      <c r="M63" s="6" t="n">
        <v>61.66578766</v>
      </c>
      <c r="N63" s="6" t="n">
        <v>0</v>
      </c>
      <c r="O63" s="7" t="b">
        <v>0</v>
      </c>
      <c r="P63" s="7" t="b">
        <v>0</v>
      </c>
      <c r="Q63" s="7" t="b">
        <v>0</v>
      </c>
      <c r="R63" s="7" t="b">
        <v>0</v>
      </c>
      <c r="S63" s="7" t="b">
        <v>1</v>
      </c>
      <c r="T63" s="7" t="b">
        <v>0</v>
      </c>
      <c r="U63" s="7" t="b">
        <v>0</v>
      </c>
      <c r="V63" s="6" t="n">
        <v>0</v>
      </c>
      <c r="W63" s="17" t="n">
        <v>12</v>
      </c>
      <c r="X63" s="6" t="n">
        <v>0.85</v>
      </c>
      <c r="Y63" s="6" t="n">
        <v>8.4</v>
      </c>
      <c r="Z63" s="6" t="n">
        <f aca="false">(Y63*7.5006157584566)/X63</f>
        <v>74.1237322012182</v>
      </c>
      <c r="AA63" s="6" t="n">
        <v>344</v>
      </c>
      <c r="AB63" s="6" t="n">
        <v>436</v>
      </c>
      <c r="AC63" s="6" t="n">
        <v>7.2</v>
      </c>
      <c r="AD63" s="6" t="n">
        <v>36.6</v>
      </c>
      <c r="AE63" s="7" t="b">
        <v>0</v>
      </c>
      <c r="AF63" s="7" t="b">
        <v>0</v>
      </c>
      <c r="AG63" s="7" t="b">
        <v>0</v>
      </c>
      <c r="AH63" s="7" t="b">
        <v>1</v>
      </c>
      <c r="AI63" s="7" t="b">
        <v>1</v>
      </c>
      <c r="AJ63" s="7" t="b">
        <v>0</v>
      </c>
      <c r="AKX63" s="0"/>
      <c r="AKY63" s="0"/>
      <c r="AKZ63" s="0"/>
      <c r="ALA63" s="0"/>
      <c r="ALB63" s="0"/>
      <c r="ALC63" s="0"/>
      <c r="ALD63" s="0"/>
      <c r="ALE63" s="0"/>
      <c r="ALF63" s="0"/>
      <c r="ALG63" s="0"/>
      <c r="ALH63" s="0"/>
      <c r="ALI63" s="0"/>
      <c r="ALJ63" s="0"/>
      <c r="ALK63" s="0"/>
      <c r="ALL63" s="0"/>
      <c r="ALM63" s="0"/>
      <c r="ALN63" s="0"/>
      <c r="ALO63" s="0"/>
      <c r="ALP63" s="0"/>
      <c r="ALQ63" s="0"/>
      <c r="ALR63" s="0"/>
      <c r="ALS63" s="0"/>
      <c r="ALT63" s="0"/>
      <c r="ALU63" s="0"/>
      <c r="ALV63" s="0"/>
      <c r="ALW63" s="0"/>
      <c r="ALX63" s="0"/>
      <c r="ALY63" s="0"/>
      <c r="ALZ63" s="0"/>
      <c r="AMA63" s="0"/>
      <c r="AMB63" s="0"/>
      <c r="AMC63" s="0"/>
      <c r="AMD63" s="0"/>
      <c r="AME63" s="0"/>
      <c r="AMF63" s="0"/>
      <c r="AMG63" s="0"/>
      <c r="AMH63" s="0"/>
      <c r="AMI63" s="0"/>
      <c r="AMJ63" s="0"/>
    </row>
    <row r="64" s="14" customFormat="true" ht="12.8" hidden="false" customHeight="false" outlineLevel="0" collapsed="false">
      <c r="A64" s="18" t="n">
        <v>62</v>
      </c>
      <c r="B64" s="6" t="n">
        <v>1</v>
      </c>
      <c r="C64" s="7" t="b">
        <v>1</v>
      </c>
      <c r="D64" s="7" t="b">
        <v>0</v>
      </c>
      <c r="E64" s="7" t="b">
        <v>0</v>
      </c>
      <c r="F64" s="6" t="n">
        <v>37</v>
      </c>
      <c r="G64" s="6"/>
      <c r="H64" s="16" t="b">
        <v>1</v>
      </c>
      <c r="I64" s="7" t="b">
        <v>1</v>
      </c>
      <c r="J64" s="7" t="b">
        <v>1</v>
      </c>
      <c r="K64" s="7" t="b">
        <v>0</v>
      </c>
      <c r="L64" s="6" t="n">
        <v>40</v>
      </c>
      <c r="M64" s="6" t="n">
        <v>27.77777778</v>
      </c>
      <c r="N64" s="6" t="n">
        <v>0</v>
      </c>
      <c r="O64" s="7" t="b">
        <v>0</v>
      </c>
      <c r="P64" s="7" t="b">
        <v>0</v>
      </c>
      <c r="Q64" s="7" t="b">
        <v>0</v>
      </c>
      <c r="R64" s="7" t="b">
        <v>0</v>
      </c>
      <c r="S64" s="7" t="b">
        <v>0</v>
      </c>
      <c r="T64" s="7" t="b">
        <v>0</v>
      </c>
      <c r="U64" s="7"/>
      <c r="V64" s="6" t="n">
        <v>0</v>
      </c>
      <c r="W64" s="17" t="n">
        <v>10</v>
      </c>
      <c r="X64" s="6" t="n">
        <v>0.5</v>
      </c>
      <c r="Y64" s="6" t="n">
        <v>9.39</v>
      </c>
      <c r="Z64" s="6" t="n">
        <f aca="false">(Y64*7.5006157584566)/X64</f>
        <v>140.861563943815</v>
      </c>
      <c r="AA64" s="6" t="n">
        <v>308</v>
      </c>
      <c r="AB64" s="6" t="n">
        <v>4146</v>
      </c>
      <c r="AC64" s="6" t="n">
        <v>3.68</v>
      </c>
      <c r="AD64" s="6" t="n">
        <v>37</v>
      </c>
      <c r="AE64" s="7" t="b">
        <v>0</v>
      </c>
      <c r="AF64" s="7" t="b">
        <v>0</v>
      </c>
      <c r="AG64" s="7" t="b">
        <v>1</v>
      </c>
      <c r="AH64" s="7" t="b">
        <v>0</v>
      </c>
      <c r="AI64" s="7" t="b">
        <v>1</v>
      </c>
      <c r="AJ64" s="7" t="b">
        <v>0</v>
      </c>
      <c r="AKX64" s="0"/>
      <c r="AKY64" s="0"/>
      <c r="AKZ64" s="0"/>
      <c r="ALA64" s="0"/>
      <c r="ALB64" s="0"/>
      <c r="ALC64" s="0"/>
      <c r="ALD64" s="0"/>
      <c r="ALE64" s="0"/>
      <c r="ALF64" s="0"/>
      <c r="ALG64" s="0"/>
      <c r="ALH64" s="0"/>
      <c r="ALI64" s="0"/>
      <c r="ALJ64" s="0"/>
      <c r="ALK64" s="0"/>
      <c r="ALL64" s="0"/>
      <c r="ALM64" s="0"/>
      <c r="ALN64" s="0"/>
      <c r="ALO64" s="0"/>
      <c r="ALP64" s="0"/>
      <c r="ALQ64" s="0"/>
      <c r="ALR64" s="0"/>
      <c r="ALS64" s="0"/>
      <c r="ALT64" s="0"/>
      <c r="ALU64" s="0"/>
      <c r="ALV64" s="0"/>
      <c r="ALW64" s="0"/>
      <c r="ALX64" s="0"/>
      <c r="ALY64" s="0"/>
      <c r="ALZ64" s="0"/>
      <c r="AMA64" s="0"/>
      <c r="AMB64" s="0"/>
      <c r="AMC64" s="0"/>
      <c r="AMD64" s="0"/>
      <c r="AME64" s="0"/>
      <c r="AMF64" s="0"/>
      <c r="AMG64" s="0"/>
      <c r="AMH64" s="0"/>
      <c r="AMI64" s="0"/>
      <c r="AMJ64" s="0"/>
    </row>
    <row r="65" s="14" customFormat="true" ht="12.8" hidden="false" customHeight="false" outlineLevel="0" collapsed="false">
      <c r="A65" s="18" t="n">
        <v>63</v>
      </c>
      <c r="B65" s="6" t="n">
        <v>1</v>
      </c>
      <c r="C65" s="7" t="b">
        <v>1</v>
      </c>
      <c r="D65" s="7" t="b">
        <v>0</v>
      </c>
      <c r="E65" s="7" t="b">
        <v>0</v>
      </c>
      <c r="F65" s="6" t="n">
        <v>50</v>
      </c>
      <c r="G65" s="6"/>
      <c r="H65" s="16" t="b">
        <v>0</v>
      </c>
      <c r="I65" s="7" t="b">
        <v>1</v>
      </c>
      <c r="J65" s="7" t="b">
        <v>1</v>
      </c>
      <c r="K65" s="7" t="b">
        <v>0</v>
      </c>
      <c r="L65" s="6" t="n">
        <v>46</v>
      </c>
      <c r="M65" s="6" t="n">
        <v>34.89439853</v>
      </c>
      <c r="N65" s="6" t="n">
        <v>4</v>
      </c>
      <c r="O65" s="7" t="b">
        <v>1</v>
      </c>
      <c r="P65" s="7" t="b">
        <v>1</v>
      </c>
      <c r="Q65" s="7" t="b">
        <v>0</v>
      </c>
      <c r="R65" s="7" t="b">
        <v>0</v>
      </c>
      <c r="S65" s="7" t="b">
        <v>0</v>
      </c>
      <c r="T65" s="7" t="b">
        <v>0</v>
      </c>
      <c r="U65" s="7" t="b">
        <v>0</v>
      </c>
      <c r="V65" s="6" t="n">
        <v>0</v>
      </c>
      <c r="W65" s="17" t="n">
        <v>8</v>
      </c>
      <c r="X65" s="6" t="n">
        <v>0.35</v>
      </c>
      <c r="Y65" s="6" t="n">
        <v>9.5</v>
      </c>
      <c r="Z65" s="6" t="n">
        <f aca="false">(Y65*7.5006157584566)/X65</f>
        <v>203.588142015251</v>
      </c>
      <c r="AA65" s="6" t="n">
        <v>347</v>
      </c>
      <c r="AB65" s="6" t="n">
        <v>2822</v>
      </c>
      <c r="AC65" s="6" t="n">
        <v>2.05</v>
      </c>
      <c r="AD65" s="6" t="n">
        <v>38</v>
      </c>
      <c r="AE65" s="7" t="b">
        <v>0</v>
      </c>
      <c r="AF65" s="7" t="b">
        <v>1</v>
      </c>
      <c r="AG65" s="7" t="b">
        <v>0</v>
      </c>
      <c r="AH65" s="7" t="b">
        <v>0</v>
      </c>
      <c r="AI65" s="7" t="b">
        <v>1</v>
      </c>
      <c r="AJ65" s="7" t="b">
        <v>0</v>
      </c>
      <c r="AKX65" s="0"/>
      <c r="AKY65" s="0"/>
      <c r="AKZ65" s="0"/>
      <c r="ALA65" s="0"/>
      <c r="ALB65" s="0"/>
      <c r="ALC65" s="0"/>
      <c r="ALD65" s="0"/>
      <c r="ALE65" s="0"/>
      <c r="ALF65" s="0"/>
      <c r="ALG65" s="0"/>
      <c r="ALH65" s="0"/>
      <c r="ALI65" s="0"/>
      <c r="ALJ65" s="0"/>
      <c r="ALK65" s="0"/>
      <c r="ALL65" s="0"/>
      <c r="ALM65" s="0"/>
      <c r="ALN65" s="0"/>
      <c r="ALO65" s="0"/>
      <c r="ALP65" s="0"/>
      <c r="ALQ65" s="0"/>
      <c r="ALR65" s="0"/>
      <c r="ALS65" s="0"/>
      <c r="ALT65" s="0"/>
      <c r="ALU65" s="0"/>
      <c r="ALV65" s="0"/>
      <c r="ALW65" s="0"/>
      <c r="ALX65" s="0"/>
      <c r="ALY65" s="0"/>
      <c r="ALZ65" s="0"/>
      <c r="AMA65" s="0"/>
      <c r="AMB65" s="0"/>
      <c r="AMC65" s="0"/>
      <c r="AMD65" s="0"/>
      <c r="AME65" s="0"/>
      <c r="AMF65" s="0"/>
      <c r="AMG65" s="0"/>
      <c r="AMH65" s="0"/>
      <c r="AMI65" s="0"/>
      <c r="AMJ65" s="0"/>
    </row>
    <row r="66" s="14" customFormat="true" ht="12.8" hidden="false" customHeight="false" outlineLevel="0" collapsed="false">
      <c r="A66" s="18" t="n">
        <v>64</v>
      </c>
      <c r="B66" s="6" t="n">
        <v>1</v>
      </c>
      <c r="C66" s="7" t="b">
        <v>1</v>
      </c>
      <c r="D66" s="7" t="b">
        <v>0</v>
      </c>
      <c r="E66" s="7" t="b">
        <v>0</v>
      </c>
      <c r="F66" s="6" t="n">
        <v>39</v>
      </c>
      <c r="G66" s="6"/>
      <c r="H66" s="16" t="b">
        <v>1</v>
      </c>
      <c r="I66" s="7" t="b">
        <v>1</v>
      </c>
      <c r="J66" s="7" t="b">
        <v>1</v>
      </c>
      <c r="K66" s="7" t="b">
        <v>0</v>
      </c>
      <c r="L66" s="6" t="n">
        <v>55</v>
      </c>
      <c r="M66" s="6" t="n">
        <v>22.39541342</v>
      </c>
      <c r="N66" s="6" t="n">
        <v>1</v>
      </c>
      <c r="O66" s="7" t="b">
        <v>0</v>
      </c>
      <c r="P66" s="7" t="b">
        <v>1</v>
      </c>
      <c r="Q66" s="7" t="b">
        <v>0</v>
      </c>
      <c r="R66" s="7" t="b">
        <v>0</v>
      </c>
      <c r="S66" s="7" t="b">
        <v>0</v>
      </c>
      <c r="T66" s="7" t="b">
        <v>0</v>
      </c>
      <c r="U66" s="7" t="b">
        <v>0</v>
      </c>
      <c r="V66" s="6" t="n">
        <v>0</v>
      </c>
      <c r="W66" s="17" t="n">
        <v>14</v>
      </c>
      <c r="X66" s="6" t="n">
        <v>0.65</v>
      </c>
      <c r="Y66" s="6" t="n">
        <v>8.2</v>
      </c>
      <c r="Z66" s="6" t="n">
        <f aca="false">(Y66*7.5006157584566)/X66</f>
        <v>94.6231526451448</v>
      </c>
      <c r="AA66" s="6" t="n">
        <v>163</v>
      </c>
      <c r="AB66" s="6" t="n">
        <v>2011</v>
      </c>
      <c r="AC66" s="6" t="n">
        <v>6.9</v>
      </c>
      <c r="AD66" s="6" t="n">
        <v>37</v>
      </c>
      <c r="AE66" s="7" t="b">
        <v>0</v>
      </c>
      <c r="AF66" s="7" t="b">
        <v>1</v>
      </c>
      <c r="AG66" s="7" t="b">
        <v>0</v>
      </c>
      <c r="AH66" s="7" t="b">
        <v>1</v>
      </c>
      <c r="AI66" s="7" t="b">
        <v>1</v>
      </c>
      <c r="AJ66" s="7" t="b">
        <v>0</v>
      </c>
      <c r="AKX66" s="0"/>
      <c r="AKY66" s="0"/>
      <c r="AKZ66" s="0"/>
      <c r="ALA66" s="0"/>
      <c r="ALB66" s="0"/>
      <c r="ALC66" s="0"/>
      <c r="ALD66" s="0"/>
      <c r="ALE66" s="0"/>
      <c r="ALF66" s="0"/>
      <c r="ALG66" s="0"/>
      <c r="ALH66" s="0"/>
      <c r="ALI66" s="0"/>
      <c r="ALJ66" s="0"/>
      <c r="ALK66" s="0"/>
      <c r="ALL66" s="0"/>
      <c r="ALM66" s="0"/>
      <c r="ALN66" s="0"/>
      <c r="ALO66" s="0"/>
      <c r="ALP66" s="0"/>
      <c r="ALQ66" s="0"/>
      <c r="ALR66" s="0"/>
      <c r="ALS66" s="0"/>
      <c r="ALT66" s="0"/>
      <c r="ALU66" s="0"/>
      <c r="ALV66" s="0"/>
      <c r="ALW66" s="0"/>
      <c r="ALX66" s="0"/>
      <c r="ALY66" s="0"/>
      <c r="ALZ66" s="0"/>
      <c r="AMA66" s="0"/>
      <c r="AMB66" s="0"/>
      <c r="AMC66" s="0"/>
      <c r="AMD66" s="0"/>
      <c r="AME66" s="0"/>
      <c r="AMF66" s="0"/>
      <c r="AMG66" s="0"/>
      <c r="AMH66" s="0"/>
      <c r="AMI66" s="0"/>
      <c r="AMJ66" s="0"/>
    </row>
    <row r="67" s="14" customFormat="true" ht="12.8" hidden="false" customHeight="false" outlineLevel="0" collapsed="false">
      <c r="A67" s="18" t="n">
        <v>65</v>
      </c>
      <c r="B67" s="6" t="n">
        <v>1</v>
      </c>
      <c r="C67" s="7" t="b">
        <v>1</v>
      </c>
      <c r="D67" s="7" t="b">
        <v>0</v>
      </c>
      <c r="E67" s="7" t="b">
        <v>0</v>
      </c>
      <c r="F67" s="6" t="n">
        <v>33</v>
      </c>
      <c r="G67" s="6"/>
      <c r="H67" s="16" t="b">
        <v>1</v>
      </c>
      <c r="I67" s="7" t="b">
        <v>0</v>
      </c>
      <c r="J67" s="7" t="b">
        <v>1</v>
      </c>
      <c r="K67" s="7" t="b">
        <v>0</v>
      </c>
      <c r="L67" s="6" t="n">
        <v>48</v>
      </c>
      <c r="M67" s="6" t="n">
        <v>33.95061728</v>
      </c>
      <c r="N67" s="6" t="n">
        <v>1</v>
      </c>
      <c r="O67" s="7" t="b">
        <v>0</v>
      </c>
      <c r="P67" s="7" t="b">
        <v>0</v>
      </c>
      <c r="Q67" s="7" t="b">
        <v>0</v>
      </c>
      <c r="R67" s="7" t="b">
        <v>0</v>
      </c>
      <c r="S67" s="7" t="b">
        <v>0</v>
      </c>
      <c r="T67" s="7" t="b">
        <v>0</v>
      </c>
      <c r="U67" s="7" t="b">
        <v>0</v>
      </c>
      <c r="V67" s="6" t="n">
        <v>0</v>
      </c>
      <c r="W67" s="17" t="n">
        <v>11</v>
      </c>
      <c r="X67" s="6" t="n">
        <v>0.4</v>
      </c>
      <c r="Y67" s="6" t="n">
        <v>7.34</v>
      </c>
      <c r="Z67" s="6" t="n">
        <f aca="false">(Y67*7.5006157584566)/X67</f>
        <v>137.636299167679</v>
      </c>
      <c r="AA67" s="6" t="n">
        <v>312</v>
      </c>
      <c r="AB67" s="6" t="n">
        <v>2411</v>
      </c>
      <c r="AC67" s="6" t="n">
        <v>1.62</v>
      </c>
      <c r="AD67" s="6" t="n">
        <v>36.5</v>
      </c>
      <c r="AE67" s="7" t="b">
        <v>0</v>
      </c>
      <c r="AF67" s="7" t="b">
        <v>1</v>
      </c>
      <c r="AG67" s="7" t="b">
        <v>1</v>
      </c>
      <c r="AH67" s="7" t="b">
        <v>1</v>
      </c>
      <c r="AI67" s="7" t="b">
        <v>1</v>
      </c>
      <c r="AJ67" s="7" t="b">
        <v>0</v>
      </c>
      <c r="AKX67" s="0"/>
      <c r="AKY67" s="0"/>
      <c r="AKZ67" s="0"/>
      <c r="ALA67" s="0"/>
      <c r="ALB67" s="0"/>
      <c r="ALC67" s="0"/>
      <c r="ALD67" s="0"/>
      <c r="ALE67" s="0"/>
      <c r="ALF67" s="0"/>
      <c r="ALG67" s="0"/>
      <c r="ALH67" s="0"/>
      <c r="ALI67" s="0"/>
      <c r="ALJ67" s="0"/>
      <c r="ALK67" s="0"/>
      <c r="ALL67" s="0"/>
      <c r="ALM67" s="0"/>
      <c r="ALN67" s="0"/>
      <c r="ALO67" s="0"/>
      <c r="ALP67" s="0"/>
      <c r="ALQ67" s="0"/>
      <c r="ALR67" s="0"/>
      <c r="ALS67" s="0"/>
      <c r="ALT67" s="0"/>
      <c r="ALU67" s="0"/>
      <c r="ALV67" s="0"/>
      <c r="ALW67" s="0"/>
      <c r="ALX67" s="0"/>
      <c r="ALY67" s="0"/>
      <c r="ALZ67" s="0"/>
      <c r="AMA67" s="0"/>
      <c r="AMB67" s="0"/>
      <c r="AMC67" s="0"/>
      <c r="AMD67" s="0"/>
      <c r="AME67" s="0"/>
      <c r="AMF67" s="0"/>
      <c r="AMG67" s="0"/>
      <c r="AMH67" s="0"/>
      <c r="AMI67" s="0"/>
      <c r="AMJ67" s="0"/>
    </row>
    <row r="68" s="14" customFormat="true" ht="12.8" hidden="false" customHeight="false" outlineLevel="0" collapsed="false">
      <c r="A68" s="18" t="n">
        <v>66</v>
      </c>
      <c r="B68" s="6" t="n">
        <v>1</v>
      </c>
      <c r="C68" s="7" t="b">
        <v>1</v>
      </c>
      <c r="D68" s="7" t="b">
        <v>0</v>
      </c>
      <c r="E68" s="7" t="b">
        <v>0</v>
      </c>
      <c r="F68" s="6" t="n">
        <v>44</v>
      </c>
      <c r="G68" s="6"/>
      <c r="H68" s="16" t="b">
        <v>0</v>
      </c>
      <c r="I68" s="7" t="b">
        <v>0</v>
      </c>
      <c r="J68" s="7" t="b">
        <v>1</v>
      </c>
      <c r="K68" s="7" t="b">
        <v>1</v>
      </c>
      <c r="L68" s="6" t="n">
        <v>68</v>
      </c>
      <c r="M68" s="6" t="n">
        <v>30.38662826</v>
      </c>
      <c r="N68" s="6" t="n">
        <v>3</v>
      </c>
      <c r="O68" s="7" t="b">
        <v>1</v>
      </c>
      <c r="P68" s="7" t="b">
        <v>1</v>
      </c>
      <c r="Q68" s="7" t="b">
        <v>0</v>
      </c>
      <c r="R68" s="7" t="b">
        <v>0</v>
      </c>
      <c r="S68" s="7" t="b">
        <v>0</v>
      </c>
      <c r="T68" s="7" t="b">
        <v>0</v>
      </c>
      <c r="U68" s="7" t="b">
        <v>0</v>
      </c>
      <c r="V68" s="6" t="n">
        <v>0</v>
      </c>
      <c r="W68" s="17"/>
      <c r="X68" s="6" t="n">
        <v>0.4</v>
      </c>
      <c r="Y68" s="6" t="n">
        <v>11.24</v>
      </c>
      <c r="Z68" s="6" t="n">
        <f aca="false">(Y68*7.5006157584566)/X68</f>
        <v>210.76730281263</v>
      </c>
      <c r="AA68" s="6" t="n">
        <v>446</v>
      </c>
      <c r="AB68" s="6" t="n">
        <v>2496</v>
      </c>
      <c r="AC68" s="6" t="n">
        <v>80</v>
      </c>
      <c r="AD68" s="6" t="n">
        <v>37.1</v>
      </c>
      <c r="AE68" s="7" t="b">
        <v>1</v>
      </c>
      <c r="AF68" s="7" t="b">
        <v>1</v>
      </c>
      <c r="AG68" s="7" t="b">
        <v>0</v>
      </c>
      <c r="AH68" s="7" t="b">
        <v>1</v>
      </c>
      <c r="AI68" s="7" t="b">
        <v>1</v>
      </c>
      <c r="AJ68" s="7" t="b">
        <v>0</v>
      </c>
      <c r="AKX68" s="0"/>
      <c r="AKY68" s="0"/>
      <c r="AKZ68" s="0"/>
      <c r="ALA68" s="0"/>
      <c r="ALB68" s="0"/>
      <c r="ALC68" s="0"/>
      <c r="ALD68" s="0"/>
      <c r="ALE68" s="0"/>
      <c r="ALF68" s="0"/>
      <c r="ALG68" s="0"/>
      <c r="ALH68" s="0"/>
      <c r="ALI68" s="0"/>
      <c r="ALJ68" s="0"/>
      <c r="ALK68" s="0"/>
      <c r="ALL68" s="0"/>
      <c r="ALM68" s="0"/>
      <c r="ALN68" s="0"/>
      <c r="ALO68" s="0"/>
      <c r="ALP68" s="0"/>
      <c r="ALQ68" s="0"/>
      <c r="ALR68" s="0"/>
      <c r="ALS68" s="0"/>
      <c r="ALT68" s="0"/>
      <c r="ALU68" s="0"/>
      <c r="ALV68" s="0"/>
      <c r="ALW68" s="0"/>
      <c r="ALX68" s="0"/>
      <c r="ALY68" s="0"/>
      <c r="ALZ68" s="0"/>
      <c r="AMA68" s="0"/>
      <c r="AMB68" s="0"/>
      <c r="AMC68" s="0"/>
      <c r="AMD68" s="0"/>
      <c r="AME68" s="0"/>
      <c r="AMF68" s="0"/>
      <c r="AMG68" s="0"/>
      <c r="AMH68" s="0"/>
      <c r="AMI68" s="0"/>
      <c r="AMJ68" s="0"/>
    </row>
    <row r="69" s="14" customFormat="true" ht="12.8" hidden="false" customHeight="false" outlineLevel="0" collapsed="false">
      <c r="A69" s="18" t="n">
        <v>67</v>
      </c>
      <c r="B69" s="6" t="n">
        <v>1</v>
      </c>
      <c r="C69" s="7" t="b">
        <v>1</v>
      </c>
      <c r="D69" s="7" t="b">
        <v>0</v>
      </c>
      <c r="E69" s="7" t="b">
        <v>0</v>
      </c>
      <c r="F69" s="6" t="n">
        <v>56</v>
      </c>
      <c r="G69" s="6"/>
      <c r="H69" s="16" t="b">
        <v>1</v>
      </c>
      <c r="I69" s="7" t="b">
        <v>1</v>
      </c>
      <c r="J69" s="7" t="b">
        <v>1</v>
      </c>
      <c r="K69" s="7" t="b">
        <v>0</v>
      </c>
      <c r="L69" s="6" t="n">
        <v>52</v>
      </c>
      <c r="M69" s="6" t="n">
        <v>25.71219869</v>
      </c>
      <c r="N69" s="6" t="n">
        <v>0</v>
      </c>
      <c r="O69" s="7" t="b">
        <v>1</v>
      </c>
      <c r="P69" s="7" t="b">
        <v>1</v>
      </c>
      <c r="Q69" s="7" t="b">
        <v>0</v>
      </c>
      <c r="R69" s="7" t="b">
        <v>0</v>
      </c>
      <c r="S69" s="7" t="b">
        <v>0</v>
      </c>
      <c r="T69" s="7" t="b">
        <v>0</v>
      </c>
      <c r="U69" s="7" t="b">
        <v>0</v>
      </c>
      <c r="V69" s="6" t="n">
        <v>0</v>
      </c>
      <c r="W69" s="17" t="n">
        <v>12</v>
      </c>
      <c r="X69" s="6" t="n">
        <v>1</v>
      </c>
      <c r="Y69" s="6" t="n">
        <v>9.19</v>
      </c>
      <c r="Z69" s="6" t="n">
        <f aca="false">(Y69*7.5006157584566)/X69</f>
        <v>68.9306588202162</v>
      </c>
      <c r="AA69" s="6" t="n">
        <v>351</v>
      </c>
      <c r="AB69" s="6" t="n">
        <v>1936</v>
      </c>
      <c r="AC69" s="6" t="n">
        <v>3.96</v>
      </c>
      <c r="AD69" s="6" t="n">
        <v>39</v>
      </c>
      <c r="AE69" s="7" t="b">
        <v>0</v>
      </c>
      <c r="AF69" s="7" t="b">
        <v>0</v>
      </c>
      <c r="AG69" s="7" t="b">
        <v>0</v>
      </c>
      <c r="AH69" s="7" t="b">
        <v>1</v>
      </c>
      <c r="AI69" s="7" t="b">
        <v>1</v>
      </c>
      <c r="AJ69" s="7" t="b">
        <v>0</v>
      </c>
      <c r="AKX69" s="0"/>
      <c r="AKY69" s="0"/>
      <c r="AKZ69" s="0"/>
      <c r="ALA69" s="0"/>
      <c r="ALB69" s="0"/>
      <c r="ALC69" s="0"/>
      <c r="ALD69" s="0"/>
      <c r="ALE69" s="0"/>
      <c r="ALF69" s="0"/>
      <c r="ALG69" s="0"/>
      <c r="ALH69" s="0"/>
      <c r="ALI69" s="0"/>
      <c r="ALJ69" s="0"/>
      <c r="ALK69" s="0"/>
      <c r="ALL69" s="0"/>
      <c r="ALM69" s="0"/>
      <c r="ALN69" s="0"/>
      <c r="ALO69" s="0"/>
      <c r="ALP69" s="0"/>
      <c r="ALQ69" s="0"/>
      <c r="ALR69" s="0"/>
      <c r="ALS69" s="0"/>
      <c r="ALT69" s="0"/>
      <c r="ALU69" s="0"/>
      <c r="ALV69" s="0"/>
      <c r="ALW69" s="0"/>
      <c r="ALX69" s="0"/>
      <c r="ALY69" s="0"/>
      <c r="ALZ69" s="0"/>
      <c r="AMA69" s="0"/>
      <c r="AMB69" s="0"/>
      <c r="AMC69" s="0"/>
      <c r="AMD69" s="0"/>
      <c r="AME69" s="0"/>
      <c r="AMF69" s="0"/>
      <c r="AMG69" s="0"/>
      <c r="AMH69" s="0"/>
      <c r="AMI69" s="0"/>
      <c r="AMJ69" s="0"/>
    </row>
    <row r="70" s="14" customFormat="true" ht="12.8" hidden="false" customHeight="false" outlineLevel="0" collapsed="false">
      <c r="A70" s="18" t="n">
        <v>69</v>
      </c>
      <c r="B70" s="6" t="n">
        <v>1</v>
      </c>
      <c r="C70" s="7" t="b">
        <v>1</v>
      </c>
      <c r="D70" s="7" t="b">
        <v>0</v>
      </c>
      <c r="E70" s="7" t="b">
        <v>0</v>
      </c>
      <c r="F70" s="6" t="n">
        <v>23</v>
      </c>
      <c r="G70" s="6"/>
      <c r="H70" s="16" t="b">
        <v>0</v>
      </c>
      <c r="I70" s="7" t="b">
        <v>1</v>
      </c>
      <c r="J70" s="7" t="b">
        <v>1</v>
      </c>
      <c r="K70" s="7" t="b">
        <v>0</v>
      </c>
      <c r="L70" s="6" t="n">
        <v>50</v>
      </c>
      <c r="M70" s="6" t="n">
        <v>29.536862</v>
      </c>
      <c r="N70" s="6" t="n">
        <v>1</v>
      </c>
      <c r="O70" s="7" t="b">
        <v>0</v>
      </c>
      <c r="P70" s="7" t="b">
        <v>1</v>
      </c>
      <c r="Q70" s="7" t="b">
        <v>0</v>
      </c>
      <c r="R70" s="7" t="b">
        <v>0</v>
      </c>
      <c r="S70" s="7" t="b">
        <v>0</v>
      </c>
      <c r="T70" s="7" t="b">
        <v>0</v>
      </c>
      <c r="U70" s="7" t="b">
        <v>0</v>
      </c>
      <c r="V70" s="6" t="n">
        <v>0</v>
      </c>
      <c r="W70" s="17" t="n">
        <v>12</v>
      </c>
      <c r="X70" s="6" t="n">
        <v>0.4</v>
      </c>
      <c r="Y70" s="6" t="n">
        <v>9.55</v>
      </c>
      <c r="Z70" s="6" t="n">
        <f aca="false">(Y70*7.5006157584566)/X70</f>
        <v>179.077201233151</v>
      </c>
      <c r="AA70" s="6" t="n">
        <v>278</v>
      </c>
      <c r="AB70" s="6" t="n">
        <v>2215</v>
      </c>
      <c r="AC70" s="6" t="n">
        <v>8.34</v>
      </c>
      <c r="AD70" s="6" t="n">
        <v>37.2</v>
      </c>
      <c r="AE70" s="7" t="b">
        <v>0</v>
      </c>
      <c r="AF70" s="7" t="b">
        <v>0</v>
      </c>
      <c r="AG70" s="7" t="b">
        <v>1</v>
      </c>
      <c r="AH70" s="7" t="b">
        <v>0</v>
      </c>
      <c r="AI70" s="7" t="b">
        <v>1</v>
      </c>
      <c r="AJ70" s="7" t="b">
        <v>0</v>
      </c>
      <c r="AKX70" s="0"/>
      <c r="AKY70" s="0"/>
      <c r="AKZ70" s="0"/>
      <c r="ALA70" s="0"/>
      <c r="ALB70" s="0"/>
      <c r="ALC70" s="0"/>
      <c r="ALD70" s="0"/>
      <c r="ALE70" s="0"/>
      <c r="ALF70" s="0"/>
      <c r="ALG70" s="0"/>
      <c r="ALH70" s="0"/>
      <c r="ALI70" s="0"/>
      <c r="ALJ70" s="0"/>
      <c r="ALK70" s="0"/>
      <c r="ALL70" s="0"/>
      <c r="ALM70" s="0"/>
      <c r="ALN70" s="0"/>
      <c r="ALO70" s="0"/>
      <c r="ALP70" s="0"/>
      <c r="ALQ70" s="0"/>
      <c r="ALR70" s="0"/>
      <c r="ALS70" s="0"/>
      <c r="ALT70" s="0"/>
      <c r="ALU70" s="0"/>
      <c r="ALV70" s="0"/>
      <c r="ALW70" s="0"/>
      <c r="ALX70" s="0"/>
      <c r="ALY70" s="0"/>
      <c r="ALZ70" s="0"/>
      <c r="AMA70" s="0"/>
      <c r="AMB70" s="0"/>
      <c r="AMC70" s="0"/>
      <c r="AMD70" s="0"/>
      <c r="AME70" s="0"/>
      <c r="AMF70" s="0"/>
      <c r="AMG70" s="0"/>
      <c r="AMH70" s="0"/>
      <c r="AMI70" s="0"/>
      <c r="AMJ70" s="0"/>
    </row>
    <row r="71" s="14" customFormat="true" ht="12.8" hidden="false" customHeight="false" outlineLevel="0" collapsed="false">
      <c r="A71" s="18" t="n">
        <v>70</v>
      </c>
      <c r="B71" s="6" t="n">
        <v>1</v>
      </c>
      <c r="C71" s="7" t="b">
        <v>1</v>
      </c>
      <c r="D71" s="7" t="b">
        <v>0</v>
      </c>
      <c r="E71" s="7" t="b">
        <v>0</v>
      </c>
      <c r="F71" s="6" t="n">
        <v>34</v>
      </c>
      <c r="G71" s="6"/>
      <c r="H71" s="16" t="b">
        <v>1</v>
      </c>
      <c r="I71" s="7" t="b">
        <v>1</v>
      </c>
      <c r="J71" s="7" t="b">
        <v>1</v>
      </c>
      <c r="K71" s="7" t="b">
        <v>0</v>
      </c>
      <c r="L71" s="6" t="n">
        <v>61</v>
      </c>
      <c r="M71" s="6" t="n">
        <v>35.15625</v>
      </c>
      <c r="N71" s="6" t="n">
        <v>2</v>
      </c>
      <c r="O71" s="7" t="b">
        <v>1</v>
      </c>
      <c r="P71" s="7" t="b">
        <v>1</v>
      </c>
      <c r="Q71" s="7" t="b">
        <v>1</v>
      </c>
      <c r="R71" s="7" t="b">
        <v>0</v>
      </c>
      <c r="S71" s="7" t="b">
        <v>0</v>
      </c>
      <c r="T71" s="7" t="b">
        <v>0</v>
      </c>
      <c r="U71" s="7" t="b">
        <v>0</v>
      </c>
      <c r="V71" s="6" t="n">
        <v>1</v>
      </c>
      <c r="W71" s="17" t="n">
        <v>10</v>
      </c>
      <c r="X71" s="6" t="n">
        <v>0.6</v>
      </c>
      <c r="Y71" s="6" t="n">
        <v>11.67</v>
      </c>
      <c r="Z71" s="6" t="n">
        <f aca="false">(Y71*7.5006157584566)/X71</f>
        <v>145.886976501981</v>
      </c>
      <c r="AA71" s="6" t="n">
        <v>146</v>
      </c>
      <c r="AB71" s="6" t="n">
        <v>2999</v>
      </c>
      <c r="AC71" s="6" t="n">
        <v>0.22</v>
      </c>
      <c r="AD71" s="6" t="n">
        <v>36.8</v>
      </c>
      <c r="AE71" s="7" t="b">
        <v>1</v>
      </c>
      <c r="AF71" s="7" t="b">
        <v>1</v>
      </c>
      <c r="AG71" s="7" t="b">
        <v>0</v>
      </c>
      <c r="AH71" s="7" t="b">
        <v>1</v>
      </c>
      <c r="AI71" s="7" t="b">
        <v>1</v>
      </c>
      <c r="AJ71" s="7" t="b">
        <v>0</v>
      </c>
      <c r="AKX71" s="0"/>
      <c r="AKY71" s="0"/>
      <c r="AKZ71" s="0"/>
      <c r="ALA71" s="0"/>
      <c r="ALB71" s="0"/>
      <c r="ALC71" s="0"/>
      <c r="ALD71" s="0"/>
      <c r="ALE71" s="0"/>
      <c r="ALF71" s="0"/>
      <c r="ALG71" s="0"/>
      <c r="ALH71" s="0"/>
      <c r="ALI71" s="0"/>
      <c r="ALJ71" s="0"/>
      <c r="ALK71" s="0"/>
      <c r="ALL71" s="0"/>
      <c r="ALM71" s="0"/>
      <c r="ALN71" s="0"/>
      <c r="ALO71" s="0"/>
      <c r="ALP71" s="0"/>
      <c r="ALQ71" s="0"/>
      <c r="ALR71" s="0"/>
      <c r="ALS71" s="0"/>
      <c r="ALT71" s="0"/>
      <c r="ALU71" s="0"/>
      <c r="ALV71" s="0"/>
      <c r="ALW71" s="0"/>
      <c r="ALX71" s="0"/>
      <c r="ALY71" s="0"/>
      <c r="ALZ71" s="0"/>
      <c r="AMA71" s="0"/>
      <c r="AMB71" s="0"/>
      <c r="AMC71" s="0"/>
      <c r="AMD71" s="0"/>
      <c r="AME71" s="0"/>
      <c r="AMF71" s="0"/>
      <c r="AMG71" s="0"/>
      <c r="AMH71" s="0"/>
      <c r="AMI71" s="0"/>
      <c r="AMJ71" s="0"/>
    </row>
    <row r="72" s="14" customFormat="true" ht="12.8" hidden="false" customHeight="false" outlineLevel="0" collapsed="false">
      <c r="A72" s="18" t="n">
        <v>71</v>
      </c>
      <c r="B72" s="6" t="n">
        <v>1</v>
      </c>
      <c r="C72" s="7" t="b">
        <v>1</v>
      </c>
      <c r="D72" s="7" t="b">
        <v>0</v>
      </c>
      <c r="E72" s="7" t="b">
        <v>0</v>
      </c>
      <c r="F72" s="6" t="n">
        <v>34</v>
      </c>
      <c r="G72" s="6"/>
      <c r="H72" s="16" t="b">
        <v>1</v>
      </c>
      <c r="I72" s="7" t="b">
        <v>1</v>
      </c>
      <c r="J72" s="7" t="b">
        <v>1</v>
      </c>
      <c r="K72" s="7" t="b">
        <v>0</v>
      </c>
      <c r="L72" s="6" t="n">
        <v>46</v>
      </c>
      <c r="M72" s="6" t="n">
        <v>45.91368228</v>
      </c>
      <c r="N72" s="6" t="n">
        <v>2</v>
      </c>
      <c r="O72" s="7" t="b">
        <v>0</v>
      </c>
      <c r="P72" s="7" t="b">
        <v>0</v>
      </c>
      <c r="Q72" s="7" t="b">
        <v>0</v>
      </c>
      <c r="R72" s="7" t="b">
        <v>0</v>
      </c>
      <c r="S72" s="7" t="b">
        <v>0</v>
      </c>
      <c r="T72" s="7" t="b">
        <v>0</v>
      </c>
      <c r="U72" s="7" t="b">
        <v>0</v>
      </c>
      <c r="V72" s="6" t="n">
        <v>0</v>
      </c>
      <c r="W72" s="17"/>
      <c r="X72" s="6" t="n">
        <v>0.7</v>
      </c>
      <c r="Y72" s="6" t="n">
        <v>9.91</v>
      </c>
      <c r="Z72" s="6" t="n">
        <f aca="false">(Y72*7.5006157584566)/X72</f>
        <v>106.187288809007</v>
      </c>
      <c r="AA72" s="6" t="n">
        <v>158</v>
      </c>
      <c r="AB72" s="6" t="n">
        <v>4668</v>
      </c>
      <c r="AC72" s="6" t="n">
        <v>75.61</v>
      </c>
      <c r="AD72" s="6" t="n">
        <v>37</v>
      </c>
      <c r="AE72" s="7" t="b">
        <v>0</v>
      </c>
      <c r="AF72" s="7" t="b">
        <v>0</v>
      </c>
      <c r="AG72" s="7" t="b">
        <v>1</v>
      </c>
      <c r="AH72" s="7" t="b">
        <v>1</v>
      </c>
      <c r="AI72" s="7" t="b">
        <v>1</v>
      </c>
      <c r="AJ72" s="7" t="b">
        <v>0</v>
      </c>
      <c r="AKX72" s="0"/>
      <c r="AKY72" s="0"/>
      <c r="AKZ72" s="0"/>
      <c r="ALA72" s="0"/>
      <c r="ALB72" s="0"/>
      <c r="ALC72" s="0"/>
      <c r="ALD72" s="0"/>
      <c r="ALE72" s="0"/>
      <c r="ALF72" s="0"/>
      <c r="ALG72" s="0"/>
      <c r="ALH72" s="0"/>
      <c r="ALI72" s="0"/>
      <c r="ALJ72" s="0"/>
      <c r="ALK72" s="0"/>
      <c r="ALL72" s="0"/>
      <c r="ALM72" s="0"/>
      <c r="ALN72" s="0"/>
      <c r="ALO72" s="0"/>
      <c r="ALP72" s="0"/>
      <c r="ALQ72" s="0"/>
      <c r="ALR72" s="0"/>
      <c r="ALS72" s="0"/>
      <c r="ALT72" s="0"/>
      <c r="ALU72" s="0"/>
      <c r="ALV72" s="0"/>
      <c r="ALW72" s="0"/>
      <c r="ALX72" s="0"/>
      <c r="ALY72" s="0"/>
      <c r="ALZ72" s="0"/>
      <c r="AMA72" s="0"/>
      <c r="AMB72" s="0"/>
      <c r="AMC72" s="0"/>
      <c r="AMD72" s="0"/>
      <c r="AME72" s="0"/>
      <c r="AMF72" s="0"/>
      <c r="AMG72" s="0"/>
      <c r="AMH72" s="0"/>
      <c r="AMI72" s="0"/>
      <c r="AMJ72" s="0"/>
    </row>
    <row r="73" s="14" customFormat="true" ht="12.8" hidden="false" customHeight="false" outlineLevel="0" collapsed="false">
      <c r="A73" s="18" t="n">
        <v>72</v>
      </c>
      <c r="B73" s="6" t="n">
        <v>1</v>
      </c>
      <c r="C73" s="7" t="b">
        <v>1</v>
      </c>
      <c r="D73" s="7" t="b">
        <v>0</v>
      </c>
      <c r="E73" s="7" t="b">
        <v>0</v>
      </c>
      <c r="F73" s="6" t="n">
        <v>38</v>
      </c>
      <c r="G73" s="6"/>
      <c r="H73" s="16" t="b">
        <v>1</v>
      </c>
      <c r="I73" s="7" t="b">
        <v>1</v>
      </c>
      <c r="J73" s="7" t="b">
        <v>0</v>
      </c>
      <c r="K73" s="7" t="b">
        <v>0</v>
      </c>
      <c r="L73" s="6" t="n">
        <v>60</v>
      </c>
      <c r="M73" s="6" t="n">
        <v>26.12244898</v>
      </c>
      <c r="N73" s="6" t="n">
        <v>1</v>
      </c>
      <c r="O73" s="7" t="b">
        <v>1</v>
      </c>
      <c r="P73" s="7" t="b">
        <v>1</v>
      </c>
      <c r="Q73" s="7" t="b">
        <v>0</v>
      </c>
      <c r="R73" s="7" t="b">
        <v>0</v>
      </c>
      <c r="S73" s="7" t="b">
        <v>0</v>
      </c>
      <c r="T73" s="7" t="b">
        <v>0</v>
      </c>
      <c r="U73" s="7" t="b">
        <v>0</v>
      </c>
      <c r="V73" s="6" t="n">
        <v>0</v>
      </c>
      <c r="W73" s="17" t="n">
        <v>12</v>
      </c>
      <c r="X73" s="6" t="n">
        <v>0.8</v>
      </c>
      <c r="Y73" s="6" t="n">
        <v>11.04</v>
      </c>
      <c r="Z73" s="6" t="n">
        <f aca="false">(Y73*7.5006157584566)/X73</f>
        <v>103.508497466701</v>
      </c>
      <c r="AA73" s="6" t="n">
        <v>188</v>
      </c>
      <c r="AB73" s="6" t="n">
        <v>1930</v>
      </c>
      <c r="AC73" s="6" t="n">
        <v>46.56</v>
      </c>
      <c r="AD73" s="6" t="n">
        <v>37.6</v>
      </c>
      <c r="AE73" s="7" t="b">
        <v>1</v>
      </c>
      <c r="AF73" s="7" t="b">
        <v>1</v>
      </c>
      <c r="AG73" s="7" t="b">
        <v>0</v>
      </c>
      <c r="AH73" s="7" t="b">
        <v>0</v>
      </c>
      <c r="AI73" s="7" t="b">
        <v>1</v>
      </c>
      <c r="AJ73" s="7" t="b">
        <v>0</v>
      </c>
      <c r="AKX73" s="0"/>
      <c r="AKY73" s="0"/>
      <c r="AKZ73" s="0"/>
      <c r="ALA73" s="0"/>
      <c r="ALB73" s="0"/>
      <c r="ALC73" s="0"/>
      <c r="ALD73" s="0"/>
      <c r="ALE73" s="0"/>
      <c r="ALF73" s="0"/>
      <c r="ALG73" s="0"/>
      <c r="ALH73" s="0"/>
      <c r="ALI73" s="0"/>
      <c r="ALJ73" s="0"/>
      <c r="ALK73" s="0"/>
      <c r="ALL73" s="0"/>
      <c r="ALM73" s="0"/>
      <c r="ALN73" s="0"/>
      <c r="ALO73" s="0"/>
      <c r="ALP73" s="0"/>
      <c r="ALQ73" s="0"/>
      <c r="ALR73" s="0"/>
      <c r="ALS73" s="0"/>
      <c r="ALT73" s="0"/>
      <c r="ALU73" s="0"/>
      <c r="ALV73" s="0"/>
      <c r="ALW73" s="0"/>
      <c r="ALX73" s="0"/>
      <c r="ALY73" s="0"/>
      <c r="ALZ73" s="0"/>
      <c r="AMA73" s="0"/>
      <c r="AMB73" s="0"/>
      <c r="AMC73" s="0"/>
      <c r="AMD73" s="0"/>
      <c r="AME73" s="0"/>
      <c r="AMF73" s="0"/>
      <c r="AMG73" s="0"/>
      <c r="AMH73" s="0"/>
      <c r="AMI73" s="0"/>
      <c r="AMJ73" s="0"/>
    </row>
    <row r="74" s="14" customFormat="true" ht="12.8" hidden="false" customHeight="false" outlineLevel="0" collapsed="false">
      <c r="A74" s="18" t="n">
        <v>73</v>
      </c>
      <c r="B74" s="6" t="n">
        <v>1</v>
      </c>
      <c r="C74" s="7" t="b">
        <v>1</v>
      </c>
      <c r="D74" s="7" t="b">
        <v>0</v>
      </c>
      <c r="E74" s="7" t="b">
        <v>0</v>
      </c>
      <c r="F74" s="6" t="n">
        <v>45</v>
      </c>
      <c r="G74" s="6"/>
      <c r="H74" s="16" t="b">
        <v>1</v>
      </c>
      <c r="I74" s="7" t="b">
        <v>0</v>
      </c>
      <c r="J74" s="7" t="b">
        <v>1</v>
      </c>
      <c r="K74" s="7" t="b">
        <v>0</v>
      </c>
      <c r="L74" s="6" t="n">
        <v>54</v>
      </c>
      <c r="M74" s="6" t="n">
        <v>22.53362879</v>
      </c>
      <c r="N74" s="6" t="n">
        <v>1</v>
      </c>
      <c r="O74" s="7" t="b">
        <v>0</v>
      </c>
      <c r="P74" s="7" t="b">
        <v>0</v>
      </c>
      <c r="Q74" s="7" t="b">
        <v>0</v>
      </c>
      <c r="R74" s="7" t="b">
        <v>0</v>
      </c>
      <c r="S74" s="7" t="b">
        <v>0</v>
      </c>
      <c r="T74" s="7" t="b">
        <v>0</v>
      </c>
      <c r="U74" s="7" t="b">
        <v>0</v>
      </c>
      <c r="V74" s="6" t="n">
        <v>0</v>
      </c>
      <c r="W74" s="17" t="n">
        <v>10</v>
      </c>
      <c r="X74" s="6" t="n">
        <v>0.6</v>
      </c>
      <c r="Y74" s="6" t="n">
        <v>10.79</v>
      </c>
      <c r="Z74" s="6" t="n">
        <f aca="false">(Y74*7.5006157584566)/X74</f>
        <v>134.886073389578</v>
      </c>
      <c r="AA74" s="6" t="n">
        <v>260</v>
      </c>
      <c r="AB74" s="6" t="n">
        <v>4305</v>
      </c>
      <c r="AC74" s="6" t="n">
        <v>51.62</v>
      </c>
      <c r="AD74" s="6" t="n">
        <v>38.2</v>
      </c>
      <c r="AE74" s="7" t="b">
        <v>0</v>
      </c>
      <c r="AF74" s="7" t="b">
        <v>1</v>
      </c>
      <c r="AG74" s="7" t="b">
        <v>0</v>
      </c>
      <c r="AH74" s="7" t="b">
        <v>1</v>
      </c>
      <c r="AI74" s="7" t="b">
        <v>1</v>
      </c>
      <c r="AJ74" s="7" t="b">
        <v>0</v>
      </c>
      <c r="AKX74" s="0"/>
      <c r="AKY74" s="0"/>
      <c r="AKZ74" s="0"/>
      <c r="ALA74" s="0"/>
      <c r="ALB74" s="0"/>
      <c r="ALC74" s="0"/>
      <c r="ALD74" s="0"/>
      <c r="ALE74" s="0"/>
      <c r="ALF74" s="0"/>
      <c r="ALG74" s="0"/>
      <c r="ALH74" s="0"/>
      <c r="ALI74" s="0"/>
      <c r="ALJ74" s="0"/>
      <c r="ALK74" s="0"/>
      <c r="ALL74" s="0"/>
      <c r="ALM74" s="0"/>
      <c r="ALN74" s="0"/>
      <c r="ALO74" s="0"/>
      <c r="ALP74" s="0"/>
      <c r="ALQ74" s="0"/>
      <c r="ALR74" s="0"/>
      <c r="ALS74" s="0"/>
      <c r="ALT74" s="0"/>
      <c r="ALU74" s="0"/>
      <c r="ALV74" s="0"/>
      <c r="ALW74" s="0"/>
      <c r="ALX74" s="0"/>
      <c r="ALY74" s="0"/>
      <c r="ALZ74" s="0"/>
      <c r="AMA74" s="0"/>
      <c r="AMB74" s="0"/>
      <c r="AMC74" s="0"/>
      <c r="AMD74" s="0"/>
      <c r="AME74" s="0"/>
      <c r="AMF74" s="0"/>
      <c r="AMG74" s="0"/>
      <c r="AMH74" s="0"/>
      <c r="AMI74" s="0"/>
      <c r="AMJ74" s="0"/>
    </row>
    <row r="75" s="14" customFormat="true" ht="12.8" hidden="false" customHeight="false" outlineLevel="0" collapsed="false">
      <c r="A75" s="18" t="n">
        <v>74</v>
      </c>
      <c r="B75" s="6" t="n">
        <v>1</v>
      </c>
      <c r="C75" s="7" t="b">
        <v>1</v>
      </c>
      <c r="D75" s="7" t="b">
        <v>0</v>
      </c>
      <c r="E75" s="7" t="b">
        <v>0</v>
      </c>
      <c r="F75" s="6" t="n">
        <v>30</v>
      </c>
      <c r="G75" s="6"/>
      <c r="H75" s="16" t="b">
        <v>1</v>
      </c>
      <c r="I75" s="7" t="b">
        <v>1</v>
      </c>
      <c r="J75" s="7" t="b">
        <v>0</v>
      </c>
      <c r="K75" s="7" t="b">
        <v>0</v>
      </c>
      <c r="L75" s="6" t="n">
        <v>59</v>
      </c>
      <c r="M75" s="6" t="n">
        <v>26.57312925</v>
      </c>
      <c r="N75" s="6" t="n">
        <v>0</v>
      </c>
      <c r="O75" s="7" t="b">
        <v>0</v>
      </c>
      <c r="P75" s="7" t="b">
        <v>0</v>
      </c>
      <c r="Q75" s="7" t="b">
        <v>0</v>
      </c>
      <c r="R75" s="7" t="b">
        <v>0</v>
      </c>
      <c r="S75" s="7" t="b">
        <v>0</v>
      </c>
      <c r="T75" s="7" t="b">
        <v>0</v>
      </c>
      <c r="U75" s="7" t="b">
        <v>0</v>
      </c>
      <c r="V75" s="6" t="n">
        <v>0</v>
      </c>
      <c r="W75" s="17" t="n">
        <v>10</v>
      </c>
      <c r="X75" s="6" t="n">
        <v>1</v>
      </c>
      <c r="Y75" s="6" t="n">
        <v>6.46</v>
      </c>
      <c r="Z75" s="6" t="n">
        <f aca="false">(Y75*7.5006157584566)/X75</f>
        <v>48.4539777996296</v>
      </c>
      <c r="AA75" s="6" t="n">
        <v>333</v>
      </c>
      <c r="AB75" s="6" t="n">
        <v>1158</v>
      </c>
      <c r="AC75" s="6" t="n">
        <v>5.25</v>
      </c>
      <c r="AD75" s="6" t="n">
        <v>36.2</v>
      </c>
      <c r="AE75" s="7" t="b">
        <v>1</v>
      </c>
      <c r="AF75" s="7" t="b">
        <v>0</v>
      </c>
      <c r="AG75" s="7" t="b">
        <v>0</v>
      </c>
      <c r="AH75" s="7" t="b">
        <v>0</v>
      </c>
      <c r="AI75" s="7" t="b">
        <v>1</v>
      </c>
      <c r="AJ75" s="7" t="b">
        <v>0</v>
      </c>
      <c r="AKX75" s="0"/>
      <c r="AKY75" s="0"/>
      <c r="AKZ75" s="0"/>
      <c r="ALA75" s="0"/>
      <c r="ALB75" s="0"/>
      <c r="ALC75" s="0"/>
      <c r="ALD75" s="0"/>
      <c r="ALE75" s="0"/>
      <c r="ALF75" s="0"/>
      <c r="ALG75" s="0"/>
      <c r="ALH75" s="0"/>
      <c r="ALI75" s="0"/>
      <c r="ALJ75" s="0"/>
      <c r="ALK75" s="0"/>
      <c r="ALL75" s="0"/>
      <c r="ALM75" s="0"/>
      <c r="ALN75" s="0"/>
      <c r="ALO75" s="0"/>
      <c r="ALP75" s="0"/>
      <c r="ALQ75" s="0"/>
      <c r="ALR75" s="0"/>
      <c r="ALS75" s="0"/>
      <c r="ALT75" s="0"/>
      <c r="ALU75" s="0"/>
      <c r="ALV75" s="0"/>
      <c r="ALW75" s="0"/>
      <c r="ALX75" s="0"/>
      <c r="ALY75" s="0"/>
      <c r="ALZ75" s="0"/>
      <c r="AMA75" s="0"/>
      <c r="AMB75" s="0"/>
      <c r="AMC75" s="0"/>
      <c r="AMD75" s="0"/>
      <c r="AME75" s="0"/>
      <c r="AMF75" s="0"/>
      <c r="AMG75" s="0"/>
      <c r="AMH75" s="0"/>
      <c r="AMI75" s="0"/>
      <c r="AMJ75" s="0"/>
    </row>
    <row r="76" s="14" customFormat="true" ht="12.8" hidden="false" customHeight="false" outlineLevel="0" collapsed="false">
      <c r="A76" s="18" t="n">
        <v>75</v>
      </c>
      <c r="B76" s="6" t="n">
        <v>1</v>
      </c>
      <c r="C76" s="7" t="b">
        <v>1</v>
      </c>
      <c r="D76" s="7" t="b">
        <v>0</v>
      </c>
      <c r="E76" s="7" t="b">
        <v>0</v>
      </c>
      <c r="F76" s="6" t="n">
        <v>31</v>
      </c>
      <c r="G76" s="6"/>
      <c r="H76" s="16" t="b">
        <v>1</v>
      </c>
      <c r="I76" s="7" t="b">
        <v>0</v>
      </c>
      <c r="J76" s="7" t="b">
        <v>1</v>
      </c>
      <c r="K76" s="7" t="b">
        <v>1</v>
      </c>
      <c r="L76" s="6" t="n">
        <v>35</v>
      </c>
      <c r="M76" s="6" t="n">
        <v>33.41240937</v>
      </c>
      <c r="N76" s="6" t="n">
        <v>1</v>
      </c>
      <c r="O76" s="7" t="b">
        <v>0</v>
      </c>
      <c r="P76" s="7" t="b">
        <v>0</v>
      </c>
      <c r="Q76" s="7" t="b">
        <v>0</v>
      </c>
      <c r="R76" s="7" t="b">
        <v>0</v>
      </c>
      <c r="S76" s="7" t="b">
        <v>0</v>
      </c>
      <c r="T76" s="7" t="b">
        <v>0</v>
      </c>
      <c r="U76" s="7" t="b">
        <v>0</v>
      </c>
      <c r="V76" s="6" t="n">
        <v>0</v>
      </c>
      <c r="W76" s="17" t="n">
        <v>8</v>
      </c>
      <c r="X76" s="6" t="n">
        <v>0.4</v>
      </c>
      <c r="Y76" s="6" t="n">
        <v>8.4</v>
      </c>
      <c r="Z76" s="6" t="n">
        <f aca="false">(Y76*7.5006157584566)/X76</f>
        <v>157.512930927589</v>
      </c>
      <c r="AA76" s="6" t="n">
        <v>238</v>
      </c>
      <c r="AB76" s="6" t="n">
        <v>81</v>
      </c>
      <c r="AC76" s="6" t="n">
        <v>8.89</v>
      </c>
      <c r="AD76" s="6" t="n">
        <v>37.2</v>
      </c>
      <c r="AE76" s="7" t="b">
        <v>0</v>
      </c>
      <c r="AF76" s="7" t="b">
        <v>0</v>
      </c>
      <c r="AG76" s="7" t="b">
        <v>1</v>
      </c>
      <c r="AH76" s="7" t="b">
        <v>1</v>
      </c>
      <c r="AI76" s="7" t="b">
        <v>1</v>
      </c>
      <c r="AJ76" s="7" t="b">
        <v>0</v>
      </c>
      <c r="AKX76" s="0"/>
      <c r="AKY76" s="0"/>
      <c r="AKZ76" s="0"/>
      <c r="ALA76" s="0"/>
      <c r="ALB76" s="0"/>
      <c r="ALC76" s="0"/>
      <c r="ALD76" s="0"/>
      <c r="ALE76" s="0"/>
      <c r="ALF76" s="0"/>
      <c r="ALG76" s="0"/>
      <c r="ALH76" s="0"/>
      <c r="ALI76" s="0"/>
      <c r="ALJ76" s="0"/>
      <c r="ALK76" s="0"/>
      <c r="ALL76" s="0"/>
      <c r="ALM76" s="0"/>
      <c r="ALN76" s="0"/>
      <c r="ALO76" s="0"/>
      <c r="ALP76" s="0"/>
      <c r="ALQ76" s="0"/>
      <c r="ALR76" s="0"/>
      <c r="ALS76" s="0"/>
      <c r="ALT76" s="0"/>
      <c r="ALU76" s="0"/>
      <c r="ALV76" s="0"/>
      <c r="ALW76" s="0"/>
      <c r="ALX76" s="0"/>
      <c r="ALY76" s="0"/>
      <c r="ALZ76" s="0"/>
      <c r="AMA76" s="0"/>
      <c r="AMB76" s="0"/>
      <c r="AMC76" s="0"/>
      <c r="AMD76" s="0"/>
      <c r="AME76" s="0"/>
      <c r="AMF76" s="0"/>
      <c r="AMG76" s="0"/>
      <c r="AMH76" s="0"/>
      <c r="AMI76" s="0"/>
      <c r="AMJ76" s="0"/>
    </row>
    <row r="77" s="14" customFormat="true" ht="12.8" hidden="false" customHeight="false" outlineLevel="0" collapsed="false">
      <c r="A77" s="18" t="n">
        <v>76</v>
      </c>
      <c r="B77" s="6" t="n">
        <v>1</v>
      </c>
      <c r="C77" s="7" t="b">
        <v>1</v>
      </c>
      <c r="D77" s="7" t="b">
        <v>0</v>
      </c>
      <c r="E77" s="7" t="b">
        <v>0</v>
      </c>
      <c r="F77" s="6" t="n">
        <v>28</v>
      </c>
      <c r="G77" s="6"/>
      <c r="H77" s="16" t="b">
        <v>0</v>
      </c>
      <c r="I77" s="7" t="b">
        <v>1</v>
      </c>
      <c r="J77" s="7" t="b">
        <v>1</v>
      </c>
      <c r="K77" s="7" t="b">
        <v>0</v>
      </c>
      <c r="L77" s="6" t="n">
        <v>55</v>
      </c>
      <c r="M77" s="6" t="n">
        <v>29.296875</v>
      </c>
      <c r="N77" s="6" t="n">
        <v>1</v>
      </c>
      <c r="O77" s="7" t="b">
        <v>1</v>
      </c>
      <c r="P77" s="7" t="b">
        <v>0</v>
      </c>
      <c r="Q77" s="7" t="b">
        <v>0</v>
      </c>
      <c r="R77" s="7" t="b">
        <v>0</v>
      </c>
      <c r="S77" s="7" t="b">
        <v>0</v>
      </c>
      <c r="T77" s="7" t="b">
        <v>0</v>
      </c>
      <c r="U77" s="7" t="b">
        <v>0</v>
      </c>
      <c r="V77" s="6" t="n">
        <v>0</v>
      </c>
      <c r="W77" s="17" t="n">
        <v>14</v>
      </c>
      <c r="X77" s="6" t="n">
        <v>0.4</v>
      </c>
      <c r="Y77" s="6" t="n">
        <v>7.9</v>
      </c>
      <c r="Z77" s="6" t="n">
        <f aca="false">(Y77*7.5006157584566)/X77</f>
        <v>148.137161229518</v>
      </c>
      <c r="AA77" s="6" t="n">
        <v>85</v>
      </c>
      <c r="AB77" s="6" t="n">
        <v>1231</v>
      </c>
      <c r="AC77" s="6" t="n">
        <v>5.7</v>
      </c>
      <c r="AD77" s="6" t="n">
        <v>36.7</v>
      </c>
      <c r="AE77" s="7" t="b">
        <v>0</v>
      </c>
      <c r="AF77" s="7" t="b">
        <v>0</v>
      </c>
      <c r="AG77" s="7" t="b">
        <v>1</v>
      </c>
      <c r="AH77" s="7" t="b">
        <v>1</v>
      </c>
      <c r="AI77" s="7" t="b">
        <v>0</v>
      </c>
      <c r="AJ77" s="7" t="b">
        <v>0</v>
      </c>
      <c r="AKX77" s="0"/>
      <c r="AKY77" s="0"/>
      <c r="AKZ77" s="0"/>
      <c r="ALA77" s="0"/>
      <c r="ALB77" s="0"/>
      <c r="ALC77" s="0"/>
      <c r="ALD77" s="0"/>
      <c r="ALE77" s="0"/>
      <c r="ALF77" s="0"/>
      <c r="ALG77" s="0"/>
      <c r="ALH77" s="0"/>
      <c r="ALI77" s="0"/>
      <c r="ALJ77" s="0"/>
      <c r="ALK77" s="0"/>
      <c r="ALL77" s="0"/>
      <c r="ALM77" s="0"/>
      <c r="ALN77" s="0"/>
      <c r="ALO77" s="0"/>
      <c r="ALP77" s="0"/>
      <c r="ALQ77" s="0"/>
      <c r="ALR77" s="0"/>
      <c r="ALS77" s="0"/>
      <c r="ALT77" s="0"/>
      <c r="ALU77" s="0"/>
      <c r="ALV77" s="0"/>
      <c r="ALW77" s="0"/>
      <c r="ALX77" s="0"/>
      <c r="ALY77" s="0"/>
      <c r="ALZ77" s="0"/>
      <c r="AMA77" s="0"/>
      <c r="AMB77" s="0"/>
      <c r="AMC77" s="0"/>
      <c r="AMD77" s="0"/>
      <c r="AME77" s="0"/>
      <c r="AMF77" s="0"/>
      <c r="AMG77" s="0"/>
      <c r="AMH77" s="0"/>
      <c r="AMI77" s="0"/>
      <c r="AMJ77" s="0"/>
    </row>
    <row r="78" s="14" customFormat="true" ht="12.8" hidden="false" customHeight="false" outlineLevel="0" collapsed="false">
      <c r="A78" s="18" t="n">
        <v>77</v>
      </c>
      <c r="B78" s="6" t="n">
        <v>1</v>
      </c>
      <c r="C78" s="7" t="b">
        <v>1</v>
      </c>
      <c r="D78" s="7" t="b">
        <v>0</v>
      </c>
      <c r="E78" s="7" t="b">
        <v>0</v>
      </c>
      <c r="F78" s="6" t="n">
        <v>30</v>
      </c>
      <c r="G78" s="6"/>
      <c r="H78" s="16" t="b">
        <v>0</v>
      </c>
      <c r="I78" s="7" t="b">
        <v>1</v>
      </c>
      <c r="J78" s="7" t="b">
        <v>1</v>
      </c>
      <c r="K78" s="7" t="b">
        <v>1</v>
      </c>
      <c r="L78" s="6" t="n">
        <v>53</v>
      </c>
      <c r="M78" s="6" t="n">
        <v>29.67494522</v>
      </c>
      <c r="N78" s="6" t="n">
        <v>2</v>
      </c>
      <c r="O78" s="7" t="b">
        <v>0</v>
      </c>
      <c r="P78" s="7" t="b">
        <v>1</v>
      </c>
      <c r="Q78" s="7" t="b">
        <v>0</v>
      </c>
      <c r="R78" s="7" t="b">
        <v>0</v>
      </c>
      <c r="S78" s="7" t="b">
        <v>0</v>
      </c>
      <c r="T78" s="7" t="b">
        <v>0</v>
      </c>
      <c r="U78" s="7" t="b">
        <v>0</v>
      </c>
      <c r="V78" s="6" t="n">
        <v>0</v>
      </c>
      <c r="W78" s="17" t="n">
        <v>0</v>
      </c>
      <c r="X78" s="6" t="n">
        <v>0.4</v>
      </c>
      <c r="Y78" s="6" t="n">
        <v>8.04</v>
      </c>
      <c r="Z78" s="6" t="n">
        <f aca="false">(Y78*7.5006157584566)/X78</f>
        <v>150.762376744978</v>
      </c>
      <c r="AA78" s="6" t="n">
        <v>84</v>
      </c>
      <c r="AB78" s="6" t="n">
        <v>732</v>
      </c>
      <c r="AC78" s="6" t="n">
        <v>3.1</v>
      </c>
      <c r="AD78" s="6" t="n">
        <v>37</v>
      </c>
      <c r="AE78" s="7" t="b">
        <v>0</v>
      </c>
      <c r="AF78" s="7" t="b">
        <v>0</v>
      </c>
      <c r="AG78" s="7" t="b">
        <v>1</v>
      </c>
      <c r="AH78" s="7" t="b">
        <v>1</v>
      </c>
      <c r="AI78" s="7" t="b">
        <v>1</v>
      </c>
      <c r="AJ78" s="7" t="b">
        <v>0</v>
      </c>
      <c r="AKX78" s="0"/>
      <c r="AKY78" s="0"/>
      <c r="AKZ78" s="0"/>
      <c r="ALA78" s="0"/>
      <c r="ALB78" s="0"/>
      <c r="ALC78" s="0"/>
      <c r="ALD78" s="0"/>
      <c r="ALE78" s="0"/>
      <c r="ALF78" s="0"/>
      <c r="ALG78" s="0"/>
      <c r="ALH78" s="0"/>
      <c r="ALI78" s="0"/>
      <c r="ALJ78" s="0"/>
      <c r="ALK78" s="0"/>
      <c r="ALL78" s="0"/>
      <c r="ALM78" s="0"/>
      <c r="ALN78" s="0"/>
      <c r="ALO78" s="0"/>
      <c r="ALP78" s="0"/>
      <c r="ALQ78" s="0"/>
      <c r="ALR78" s="0"/>
      <c r="ALS78" s="0"/>
      <c r="ALT78" s="0"/>
      <c r="ALU78" s="0"/>
      <c r="ALV78" s="0"/>
      <c r="ALW78" s="0"/>
      <c r="ALX78" s="0"/>
      <c r="ALY78" s="0"/>
      <c r="ALZ78" s="0"/>
      <c r="AMA78" s="0"/>
      <c r="AMB78" s="0"/>
      <c r="AMC78" s="0"/>
      <c r="AMD78" s="0"/>
      <c r="AME78" s="0"/>
      <c r="AMF78" s="0"/>
      <c r="AMG78" s="0"/>
      <c r="AMH78" s="0"/>
      <c r="AMI78" s="0"/>
      <c r="AMJ78" s="0"/>
    </row>
    <row r="79" s="14" customFormat="true" ht="12.8" hidden="false" customHeight="false" outlineLevel="0" collapsed="false">
      <c r="A79" s="18" t="n">
        <v>78</v>
      </c>
      <c r="B79" s="6" t="n">
        <v>1</v>
      </c>
      <c r="C79" s="7" t="b">
        <v>1</v>
      </c>
      <c r="D79" s="7" t="b">
        <v>0</v>
      </c>
      <c r="E79" s="7" t="b">
        <v>0</v>
      </c>
      <c r="F79" s="6" t="n">
        <v>33</v>
      </c>
      <c r="G79" s="6"/>
      <c r="H79" s="16" t="b">
        <v>1</v>
      </c>
      <c r="I79" s="7" t="b">
        <v>0</v>
      </c>
      <c r="J79" s="7" t="b">
        <v>1</v>
      </c>
      <c r="K79" s="7" t="b">
        <v>0</v>
      </c>
      <c r="L79" s="6" t="n">
        <v>35</v>
      </c>
      <c r="M79" s="6" t="n">
        <v>29.35</v>
      </c>
      <c r="N79" s="6" t="n">
        <v>2</v>
      </c>
      <c r="O79" s="7" t="b">
        <v>0</v>
      </c>
      <c r="P79" s="7" t="b">
        <v>0</v>
      </c>
      <c r="Q79" s="7" t="b">
        <v>0</v>
      </c>
      <c r="R79" s="7" t="b">
        <v>0</v>
      </c>
      <c r="S79" s="7" t="b">
        <v>0</v>
      </c>
      <c r="T79" s="7" t="b">
        <v>0</v>
      </c>
      <c r="U79" s="7" t="b">
        <v>0</v>
      </c>
      <c r="V79" s="6" t="n">
        <v>0</v>
      </c>
      <c r="W79" s="17" t="n">
        <v>10</v>
      </c>
      <c r="X79" s="6" t="n">
        <v>0.4</v>
      </c>
      <c r="Y79" s="6" t="n">
        <v>6.78</v>
      </c>
      <c r="Z79" s="6" t="n">
        <f aca="false">(Y79*7.5006157584566)/X79</f>
        <v>127.135437105839</v>
      </c>
      <c r="AA79" s="6" t="n">
        <v>282</v>
      </c>
      <c r="AB79" s="6" t="n">
        <v>531</v>
      </c>
      <c r="AC79" s="6" t="n">
        <v>35.56</v>
      </c>
      <c r="AD79" s="6" t="n">
        <v>37.8</v>
      </c>
      <c r="AE79" s="7" t="b">
        <v>1</v>
      </c>
      <c r="AF79" s="7" t="b">
        <v>0</v>
      </c>
      <c r="AG79" s="7" t="b">
        <v>1</v>
      </c>
      <c r="AH79" s="7" t="b">
        <v>0</v>
      </c>
      <c r="AI79" s="7" t="b">
        <v>1</v>
      </c>
      <c r="AJ79" s="7" t="b">
        <v>0</v>
      </c>
      <c r="AKX79" s="0"/>
      <c r="AKY79" s="0"/>
      <c r="AKZ79" s="0"/>
      <c r="ALA79" s="0"/>
      <c r="ALB79" s="0"/>
      <c r="ALC79" s="0"/>
      <c r="ALD79" s="0"/>
      <c r="ALE79" s="0"/>
      <c r="ALF79" s="0"/>
      <c r="ALG79" s="0"/>
      <c r="ALH79" s="0"/>
      <c r="ALI79" s="0"/>
      <c r="ALJ79" s="0"/>
      <c r="ALK79" s="0"/>
      <c r="ALL79" s="0"/>
      <c r="ALM79" s="0"/>
      <c r="ALN79" s="0"/>
      <c r="ALO79" s="0"/>
      <c r="ALP79" s="0"/>
      <c r="ALQ79" s="0"/>
      <c r="ALR79" s="0"/>
      <c r="ALS79" s="0"/>
      <c r="ALT79" s="0"/>
      <c r="ALU79" s="0"/>
      <c r="ALV79" s="0"/>
      <c r="ALW79" s="0"/>
      <c r="ALX79" s="0"/>
      <c r="ALY79" s="0"/>
      <c r="ALZ79" s="0"/>
      <c r="AMA79" s="0"/>
      <c r="AMB79" s="0"/>
      <c r="AMC79" s="0"/>
      <c r="AMD79" s="0"/>
      <c r="AME79" s="0"/>
      <c r="AMF79" s="0"/>
      <c r="AMG79" s="0"/>
      <c r="AMH79" s="0"/>
      <c r="AMI79" s="0"/>
      <c r="AMJ79" s="0"/>
    </row>
    <row r="80" s="14" customFormat="true" ht="12.8" hidden="false" customHeight="false" outlineLevel="0" collapsed="false">
      <c r="A80" s="18" t="n">
        <v>79</v>
      </c>
      <c r="B80" s="6" t="n">
        <v>1</v>
      </c>
      <c r="C80" s="7" t="b">
        <v>1</v>
      </c>
      <c r="D80" s="7" t="b">
        <v>0</v>
      </c>
      <c r="E80" s="7" t="b">
        <v>0</v>
      </c>
      <c r="F80" s="6" t="n">
        <v>32</v>
      </c>
      <c r="G80" s="6"/>
      <c r="H80" s="16" t="b">
        <v>1</v>
      </c>
      <c r="I80" s="7" t="b">
        <v>0</v>
      </c>
      <c r="J80" s="7" t="b">
        <v>1</v>
      </c>
      <c r="K80" s="7" t="b">
        <v>0</v>
      </c>
      <c r="L80" s="6" t="n">
        <v>33</v>
      </c>
      <c r="M80" s="6" t="n">
        <v>27.78</v>
      </c>
      <c r="N80" s="6" t="n">
        <v>2</v>
      </c>
      <c r="O80" s="7" t="b">
        <v>0</v>
      </c>
      <c r="P80" s="7" t="b">
        <v>0</v>
      </c>
      <c r="Q80" s="7" t="b">
        <v>0</v>
      </c>
      <c r="R80" s="7" t="b">
        <v>0</v>
      </c>
      <c r="S80" s="7" t="b">
        <v>0</v>
      </c>
      <c r="T80" s="7" t="b">
        <v>0</v>
      </c>
      <c r="U80" s="7" t="b">
        <v>0</v>
      </c>
      <c r="V80" s="6" t="n">
        <v>0</v>
      </c>
      <c r="W80" s="17" t="n">
        <v>6</v>
      </c>
      <c r="X80" s="6" t="n">
        <v>0.5</v>
      </c>
      <c r="Y80" s="6" t="n">
        <v>7.57</v>
      </c>
      <c r="Z80" s="6" t="n">
        <f aca="false">(Y80*7.5006157584566)/X80</f>
        <v>113.559322583033</v>
      </c>
      <c r="AA80" s="6" t="n">
        <v>332</v>
      </c>
      <c r="AB80" s="6" t="n">
        <v>3402</v>
      </c>
      <c r="AC80" s="6" t="n">
        <v>20.7</v>
      </c>
      <c r="AD80" s="6" t="n">
        <v>36.7</v>
      </c>
      <c r="AE80" s="7" t="b">
        <v>0</v>
      </c>
      <c r="AF80" s="7" t="b">
        <v>0</v>
      </c>
      <c r="AG80" s="7" t="b">
        <v>1</v>
      </c>
      <c r="AH80" s="7" t="b">
        <v>1</v>
      </c>
      <c r="AI80" s="7" t="b">
        <v>1</v>
      </c>
      <c r="AJ80" s="7" t="b">
        <v>0</v>
      </c>
      <c r="AKX80" s="0"/>
      <c r="AKY80" s="0"/>
      <c r="AKZ80" s="0"/>
      <c r="ALA80" s="0"/>
      <c r="ALB80" s="0"/>
      <c r="ALC80" s="0"/>
      <c r="ALD80" s="0"/>
      <c r="ALE80" s="0"/>
      <c r="ALF80" s="0"/>
      <c r="ALG80" s="0"/>
      <c r="ALH80" s="0"/>
      <c r="ALI80" s="0"/>
      <c r="ALJ80" s="0"/>
      <c r="ALK80" s="0"/>
      <c r="ALL80" s="0"/>
      <c r="ALM80" s="0"/>
      <c r="ALN80" s="0"/>
      <c r="ALO80" s="0"/>
      <c r="ALP80" s="0"/>
      <c r="ALQ80" s="0"/>
      <c r="ALR80" s="0"/>
      <c r="ALS80" s="0"/>
      <c r="ALT80" s="0"/>
      <c r="ALU80" s="0"/>
      <c r="ALV80" s="0"/>
      <c r="ALW80" s="0"/>
      <c r="ALX80" s="0"/>
      <c r="ALY80" s="0"/>
      <c r="ALZ80" s="0"/>
      <c r="AMA80" s="0"/>
      <c r="AMB80" s="0"/>
      <c r="AMC80" s="0"/>
      <c r="AMD80" s="0"/>
      <c r="AME80" s="0"/>
      <c r="AMF80" s="0"/>
      <c r="AMG80" s="0"/>
      <c r="AMH80" s="0"/>
      <c r="AMI80" s="0"/>
      <c r="AMJ80" s="0"/>
    </row>
    <row r="81" s="14" customFormat="true" ht="12.8" hidden="false" customHeight="false" outlineLevel="0" collapsed="false">
      <c r="A81" s="18" t="n">
        <v>80</v>
      </c>
      <c r="B81" s="6" t="n">
        <v>1</v>
      </c>
      <c r="C81" s="7" t="b">
        <v>1</v>
      </c>
      <c r="D81" s="7" t="b">
        <v>0</v>
      </c>
      <c r="E81" s="7" t="b">
        <v>0</v>
      </c>
      <c r="F81" s="6" t="n">
        <v>34</v>
      </c>
      <c r="G81" s="6"/>
      <c r="H81" s="16" t="b">
        <v>0</v>
      </c>
      <c r="I81" s="7" t="b">
        <v>0</v>
      </c>
      <c r="J81" s="7" t="b">
        <v>1</v>
      </c>
      <c r="K81" s="7" t="b">
        <v>1</v>
      </c>
      <c r="L81" s="6" t="n">
        <v>48</v>
      </c>
      <c r="M81" s="6" t="n">
        <v>30.3</v>
      </c>
      <c r="N81" s="6" t="n">
        <v>2</v>
      </c>
      <c r="O81" s="7" t="b">
        <v>0</v>
      </c>
      <c r="P81" s="7" t="b">
        <v>0</v>
      </c>
      <c r="Q81" s="7" t="b">
        <v>0</v>
      </c>
      <c r="R81" s="7" t="b">
        <v>0</v>
      </c>
      <c r="S81" s="7" t="b">
        <v>0</v>
      </c>
      <c r="T81" s="7" t="b">
        <v>0</v>
      </c>
      <c r="U81" s="7" t="b">
        <v>0</v>
      </c>
      <c r="V81" s="6" t="n">
        <v>0</v>
      </c>
      <c r="W81" s="17"/>
      <c r="X81" s="6"/>
      <c r="Y81" s="6"/>
      <c r="Z81" s="6"/>
      <c r="AA81" s="6"/>
      <c r="AB81" s="6"/>
      <c r="AC81" s="6"/>
      <c r="AD81" s="6"/>
      <c r="AE81" s="7"/>
      <c r="AF81" s="7"/>
      <c r="AG81" s="7"/>
      <c r="AH81" s="7"/>
      <c r="AI81" s="7"/>
      <c r="AJ81" s="7" t="b">
        <v>0</v>
      </c>
      <c r="AKX81" s="0"/>
      <c r="AKY81" s="0"/>
      <c r="AKZ81" s="0"/>
      <c r="ALA81" s="0"/>
      <c r="ALB81" s="0"/>
      <c r="ALC81" s="0"/>
      <c r="ALD81" s="0"/>
      <c r="ALE81" s="0"/>
      <c r="ALF81" s="0"/>
      <c r="ALG81" s="0"/>
      <c r="ALH81" s="0"/>
      <c r="ALI81" s="0"/>
      <c r="ALJ81" s="0"/>
      <c r="ALK81" s="0"/>
      <c r="ALL81" s="0"/>
      <c r="ALM81" s="0"/>
      <c r="ALN81" s="0"/>
      <c r="ALO81" s="0"/>
      <c r="ALP81" s="0"/>
      <c r="ALQ81" s="0"/>
      <c r="ALR81" s="0"/>
      <c r="ALS81" s="0"/>
      <c r="ALT81" s="0"/>
      <c r="ALU81" s="0"/>
      <c r="ALV81" s="0"/>
      <c r="ALW81" s="0"/>
      <c r="ALX81" s="0"/>
      <c r="ALY81" s="0"/>
      <c r="ALZ81" s="0"/>
      <c r="AMA81" s="0"/>
      <c r="AMB81" s="0"/>
      <c r="AMC81" s="0"/>
      <c r="AMD81" s="0"/>
      <c r="AME81" s="0"/>
      <c r="AMF81" s="0"/>
      <c r="AMG81" s="0"/>
      <c r="AMH81" s="0"/>
      <c r="AMI81" s="0"/>
      <c r="AMJ81" s="0"/>
    </row>
    <row r="82" s="14" customFormat="true" ht="12.8" hidden="false" customHeight="false" outlineLevel="0" collapsed="false">
      <c r="A82" s="18" t="n">
        <v>81</v>
      </c>
      <c r="B82" s="6" t="n">
        <v>1</v>
      </c>
      <c r="C82" s="7" t="b">
        <v>1</v>
      </c>
      <c r="D82" s="7" t="b">
        <v>0</v>
      </c>
      <c r="E82" s="7" t="b">
        <v>0</v>
      </c>
      <c r="F82" s="6" t="n">
        <v>35</v>
      </c>
      <c r="G82" s="6"/>
      <c r="H82" s="16" t="b">
        <v>1</v>
      </c>
      <c r="I82" s="7" t="b">
        <v>0</v>
      </c>
      <c r="J82" s="7" t="b">
        <v>1</v>
      </c>
      <c r="K82" s="7" t="b">
        <v>0</v>
      </c>
      <c r="L82" s="6" t="n">
        <v>49</v>
      </c>
      <c r="M82" s="6" t="n">
        <v>23.67</v>
      </c>
      <c r="N82" s="6" t="n">
        <v>1</v>
      </c>
      <c r="O82" s="7" t="b">
        <v>1</v>
      </c>
      <c r="P82" s="7" t="b">
        <v>0</v>
      </c>
      <c r="Q82" s="7" t="b">
        <v>0</v>
      </c>
      <c r="R82" s="7" t="b">
        <v>0</v>
      </c>
      <c r="S82" s="7" t="b">
        <v>0</v>
      </c>
      <c r="T82" s="7" t="b">
        <v>0</v>
      </c>
      <c r="U82" s="7" t="b">
        <v>0</v>
      </c>
      <c r="V82" s="6" t="n">
        <v>0</v>
      </c>
      <c r="W82" s="17"/>
      <c r="X82" s="6"/>
      <c r="Y82" s="6"/>
      <c r="Z82" s="6"/>
      <c r="AA82" s="6"/>
      <c r="AB82" s="6"/>
      <c r="AC82" s="6"/>
      <c r="AD82" s="6"/>
      <c r="AE82" s="7"/>
      <c r="AF82" s="7"/>
      <c r="AG82" s="7"/>
      <c r="AH82" s="7"/>
      <c r="AI82" s="7"/>
      <c r="AJ82" s="7" t="b">
        <v>0</v>
      </c>
      <c r="AKX82" s="0"/>
      <c r="AKY82" s="0"/>
      <c r="AKZ82" s="0"/>
      <c r="ALA82" s="0"/>
      <c r="ALB82" s="0"/>
      <c r="ALC82" s="0"/>
      <c r="ALD82" s="0"/>
      <c r="ALE82" s="0"/>
      <c r="ALF82" s="0"/>
      <c r="ALG82" s="0"/>
      <c r="ALH82" s="0"/>
      <c r="ALI82" s="0"/>
      <c r="ALJ82" s="0"/>
      <c r="ALK82" s="0"/>
      <c r="ALL82" s="0"/>
      <c r="ALM82" s="0"/>
      <c r="ALN82" s="0"/>
      <c r="ALO82" s="0"/>
      <c r="ALP82" s="0"/>
      <c r="ALQ82" s="0"/>
      <c r="ALR82" s="0"/>
      <c r="ALS82" s="0"/>
      <c r="ALT82" s="0"/>
      <c r="ALU82" s="0"/>
      <c r="ALV82" s="0"/>
      <c r="ALW82" s="0"/>
      <c r="ALX82" s="0"/>
      <c r="ALY82" s="0"/>
      <c r="ALZ82" s="0"/>
      <c r="AMA82" s="0"/>
      <c r="AMB82" s="0"/>
      <c r="AMC82" s="0"/>
      <c r="AMD82" s="0"/>
      <c r="AME82" s="0"/>
      <c r="AMF82" s="0"/>
      <c r="AMG82" s="0"/>
      <c r="AMH82" s="0"/>
      <c r="AMI82" s="0"/>
      <c r="AMJ82" s="0"/>
    </row>
    <row r="83" s="14" customFormat="true" ht="12.8" hidden="false" customHeight="false" outlineLevel="0" collapsed="false">
      <c r="A83" s="18" t="n">
        <v>82</v>
      </c>
      <c r="B83" s="6" t="n">
        <v>1</v>
      </c>
      <c r="C83" s="7" t="b">
        <v>1</v>
      </c>
      <c r="D83" s="7" t="b">
        <v>0</v>
      </c>
      <c r="E83" s="7" t="b">
        <v>0</v>
      </c>
      <c r="F83" s="6" t="n">
        <v>32</v>
      </c>
      <c r="G83" s="6"/>
      <c r="H83" s="16" t="b">
        <v>0</v>
      </c>
      <c r="I83" s="7" t="b">
        <v>0</v>
      </c>
      <c r="J83" s="7" t="b">
        <v>1</v>
      </c>
      <c r="K83" s="7" t="b">
        <v>0</v>
      </c>
      <c r="L83" s="6" t="n">
        <v>54</v>
      </c>
      <c r="M83" s="6" t="n">
        <v>39.33</v>
      </c>
      <c r="N83" s="6" t="n">
        <v>3</v>
      </c>
      <c r="O83" s="7" t="b">
        <v>0</v>
      </c>
      <c r="P83" s="7" t="b">
        <v>0</v>
      </c>
      <c r="Q83" s="7" t="b">
        <v>0</v>
      </c>
      <c r="R83" s="7" t="b">
        <v>0</v>
      </c>
      <c r="S83" s="7" t="b">
        <v>0</v>
      </c>
      <c r="T83" s="7" t="b">
        <v>0</v>
      </c>
      <c r="U83" s="7" t="b">
        <v>0</v>
      </c>
      <c r="V83" s="6" t="n">
        <v>0</v>
      </c>
      <c r="W83" s="17"/>
      <c r="X83" s="6" t="n">
        <v>0.8</v>
      </c>
      <c r="Y83" s="6" t="n">
        <v>6.9</v>
      </c>
      <c r="Z83" s="6" t="n">
        <f aca="false">(Y83*7.5006157584566)/X83</f>
        <v>64.6928109166882</v>
      </c>
      <c r="AA83" s="6" t="n">
        <v>119</v>
      </c>
      <c r="AB83" s="6" t="n">
        <v>3640</v>
      </c>
      <c r="AC83" s="6" t="n">
        <v>2.92</v>
      </c>
      <c r="AD83" s="6" t="n">
        <v>36.9</v>
      </c>
      <c r="AE83" s="7" t="b">
        <v>0</v>
      </c>
      <c r="AF83" s="7" t="b">
        <v>0</v>
      </c>
      <c r="AG83" s="7" t="b">
        <v>0</v>
      </c>
      <c r="AH83" s="7" t="b">
        <v>1</v>
      </c>
      <c r="AI83" s="7" t="b">
        <v>1</v>
      </c>
      <c r="AJ83" s="7" t="b">
        <v>0</v>
      </c>
      <c r="AKX83" s="0"/>
      <c r="AKY83" s="0"/>
      <c r="AKZ83" s="0"/>
      <c r="ALA83" s="0"/>
      <c r="ALB83" s="0"/>
      <c r="ALC83" s="0"/>
      <c r="ALD83" s="0"/>
      <c r="ALE83" s="0"/>
      <c r="ALF83" s="0"/>
      <c r="ALG83" s="0"/>
      <c r="ALH83" s="0"/>
      <c r="ALI83" s="0"/>
      <c r="ALJ83" s="0"/>
      <c r="ALK83" s="0"/>
      <c r="ALL83" s="0"/>
      <c r="ALM83" s="0"/>
      <c r="ALN83" s="0"/>
      <c r="ALO83" s="0"/>
      <c r="ALP83" s="0"/>
      <c r="ALQ83" s="0"/>
      <c r="ALR83" s="0"/>
      <c r="ALS83" s="0"/>
      <c r="ALT83" s="0"/>
      <c r="ALU83" s="0"/>
      <c r="ALV83" s="0"/>
      <c r="ALW83" s="0"/>
      <c r="ALX83" s="0"/>
      <c r="ALY83" s="0"/>
      <c r="ALZ83" s="0"/>
      <c r="AMA83" s="0"/>
      <c r="AMB83" s="0"/>
      <c r="AMC83" s="0"/>
      <c r="AMD83" s="0"/>
      <c r="AME83" s="0"/>
      <c r="AMF83" s="0"/>
      <c r="AMG83" s="0"/>
      <c r="AMH83" s="0"/>
      <c r="AMI83" s="0"/>
      <c r="AMJ83" s="0"/>
    </row>
    <row r="84" s="14" customFormat="true" ht="12.8" hidden="false" customHeight="false" outlineLevel="0" collapsed="false">
      <c r="A84" s="18" t="n">
        <v>83</v>
      </c>
      <c r="B84" s="6" t="n">
        <v>1</v>
      </c>
      <c r="C84" s="7" t="b">
        <v>1</v>
      </c>
      <c r="D84" s="7" t="b">
        <v>0</v>
      </c>
      <c r="E84" s="7" t="b">
        <v>0</v>
      </c>
      <c r="F84" s="6" t="n">
        <v>22</v>
      </c>
      <c r="G84" s="6"/>
      <c r="H84" s="16" t="b">
        <v>0</v>
      </c>
      <c r="I84" s="7" t="b">
        <v>0</v>
      </c>
      <c r="J84" s="7" t="b">
        <v>1</v>
      </c>
      <c r="K84" s="7" t="b">
        <v>0</v>
      </c>
      <c r="L84" s="6" t="n">
        <v>54</v>
      </c>
      <c r="M84" s="6" t="n">
        <v>45.99</v>
      </c>
      <c r="N84" s="6" t="n">
        <v>0</v>
      </c>
      <c r="O84" s="7" t="b">
        <v>0</v>
      </c>
      <c r="P84" s="7" t="b">
        <v>1</v>
      </c>
      <c r="Q84" s="7" t="b">
        <v>0</v>
      </c>
      <c r="R84" s="7" t="b">
        <v>0</v>
      </c>
      <c r="S84" s="7" t="b">
        <v>1</v>
      </c>
      <c r="T84" s="7" t="b">
        <v>0</v>
      </c>
      <c r="U84" s="7" t="b">
        <v>0</v>
      </c>
      <c r="V84" s="6" t="n">
        <v>0</v>
      </c>
      <c r="W84" s="17"/>
      <c r="X84" s="6" t="n">
        <v>0.7</v>
      </c>
      <c r="Y84" s="6" t="n">
        <v>6.44</v>
      </c>
      <c r="Z84" s="6" t="n">
        <f aca="false">(Y84*7.5006157584566)/X84</f>
        <v>69.0056649778007</v>
      </c>
      <c r="AA84" s="6" t="n">
        <v>320</v>
      </c>
      <c r="AB84" s="6" t="n">
        <v>4702</v>
      </c>
      <c r="AC84" s="6" t="n">
        <v>5.92</v>
      </c>
      <c r="AD84" s="6" t="n">
        <v>35</v>
      </c>
      <c r="AE84" s="7" t="b">
        <v>0</v>
      </c>
      <c r="AF84" s="7" t="b">
        <v>0</v>
      </c>
      <c r="AG84" s="7" t="b">
        <v>1</v>
      </c>
      <c r="AH84" s="7" t="b">
        <v>1</v>
      </c>
      <c r="AI84" s="7" t="b">
        <v>0</v>
      </c>
      <c r="AJ84" s="7" t="b">
        <v>0</v>
      </c>
      <c r="AKX84" s="0"/>
      <c r="AKY84" s="0"/>
      <c r="AKZ84" s="0"/>
      <c r="ALA84" s="0"/>
      <c r="ALB84" s="0"/>
      <c r="ALC84" s="0"/>
      <c r="ALD84" s="0"/>
      <c r="ALE84" s="0"/>
      <c r="ALF84" s="0"/>
      <c r="ALG84" s="0"/>
      <c r="ALH84" s="0"/>
      <c r="ALI84" s="0"/>
      <c r="ALJ84" s="0"/>
      <c r="ALK84" s="0"/>
      <c r="ALL84" s="0"/>
      <c r="ALM84" s="0"/>
      <c r="ALN84" s="0"/>
      <c r="ALO84" s="0"/>
      <c r="ALP84" s="0"/>
      <c r="ALQ84" s="0"/>
      <c r="ALR84" s="0"/>
      <c r="ALS84" s="0"/>
      <c r="ALT84" s="0"/>
      <c r="ALU84" s="0"/>
      <c r="ALV84" s="0"/>
      <c r="ALW84" s="0"/>
      <c r="ALX84" s="0"/>
      <c r="ALY84" s="0"/>
      <c r="ALZ84" s="0"/>
      <c r="AMA84" s="0"/>
      <c r="AMB84" s="0"/>
      <c r="AMC84" s="0"/>
      <c r="AMD84" s="0"/>
      <c r="AME84" s="0"/>
      <c r="AMF84" s="0"/>
      <c r="AMG84" s="0"/>
      <c r="AMH84" s="0"/>
      <c r="AMI84" s="0"/>
      <c r="AMJ84" s="0"/>
    </row>
    <row r="85" s="14" customFormat="true" ht="12.8" hidden="false" customHeight="false" outlineLevel="0" collapsed="false">
      <c r="A85" s="18" t="n">
        <v>84</v>
      </c>
      <c r="B85" s="6" t="n">
        <v>1</v>
      </c>
      <c r="C85" s="7" t="b">
        <v>1</v>
      </c>
      <c r="D85" s="7" t="b">
        <v>0</v>
      </c>
      <c r="E85" s="7" t="b">
        <v>0</v>
      </c>
      <c r="F85" s="6" t="n">
        <v>35</v>
      </c>
      <c r="G85" s="6"/>
      <c r="H85" s="16" t="b">
        <v>1</v>
      </c>
      <c r="I85" s="7" t="b">
        <v>1</v>
      </c>
      <c r="J85" s="7" t="b">
        <v>1</v>
      </c>
      <c r="K85" s="7" t="b">
        <v>0</v>
      </c>
      <c r="L85" s="6" t="n">
        <v>64</v>
      </c>
      <c r="M85" s="6" t="n">
        <v>29.05</v>
      </c>
      <c r="N85" s="6" t="n">
        <v>1</v>
      </c>
      <c r="O85" s="7" t="b">
        <v>0</v>
      </c>
      <c r="P85" s="7" t="b">
        <v>0</v>
      </c>
      <c r="Q85" s="7" t="b">
        <v>0</v>
      </c>
      <c r="R85" s="7" t="b">
        <v>0</v>
      </c>
      <c r="S85" s="7" t="b">
        <v>0</v>
      </c>
      <c r="T85" s="7" t="b">
        <v>0</v>
      </c>
      <c r="U85" s="7" t="b">
        <v>0</v>
      </c>
      <c r="V85" s="6" t="n">
        <v>0</v>
      </c>
      <c r="W85" s="17"/>
      <c r="X85" s="6" t="n">
        <v>0.6</v>
      </c>
      <c r="Y85" s="6" t="n">
        <v>7</v>
      </c>
      <c r="Z85" s="6" t="n">
        <f aca="false">(Y85*7.5006157584566)/X85</f>
        <v>87.5071838486603</v>
      </c>
      <c r="AA85" s="6" t="n">
        <v>267</v>
      </c>
      <c r="AB85" s="6" t="n">
        <v>2287</v>
      </c>
      <c r="AC85" s="6" t="n">
        <v>8.71</v>
      </c>
      <c r="AD85" s="6" t="n">
        <v>37.9</v>
      </c>
      <c r="AE85" s="7" t="b">
        <v>1</v>
      </c>
      <c r="AF85" s="7" t="b">
        <v>1</v>
      </c>
      <c r="AG85" s="7" t="b">
        <v>0</v>
      </c>
      <c r="AH85" s="7" t="b">
        <v>0</v>
      </c>
      <c r="AI85" s="7" t="b">
        <v>0</v>
      </c>
      <c r="AJ85" s="7" t="b">
        <v>0</v>
      </c>
      <c r="AKX85" s="0"/>
      <c r="AKY85" s="0"/>
      <c r="AKZ85" s="0"/>
      <c r="ALA85" s="0"/>
      <c r="ALB85" s="0"/>
      <c r="ALC85" s="0"/>
      <c r="ALD85" s="0"/>
      <c r="ALE85" s="0"/>
      <c r="ALF85" s="0"/>
      <c r="ALG85" s="0"/>
      <c r="ALH85" s="0"/>
      <c r="ALI85" s="0"/>
      <c r="ALJ85" s="0"/>
      <c r="ALK85" s="0"/>
      <c r="ALL85" s="0"/>
      <c r="ALM85" s="0"/>
      <c r="ALN85" s="0"/>
      <c r="ALO85" s="0"/>
      <c r="ALP85" s="0"/>
      <c r="ALQ85" s="0"/>
      <c r="ALR85" s="0"/>
      <c r="ALS85" s="0"/>
      <c r="ALT85" s="0"/>
      <c r="ALU85" s="0"/>
      <c r="ALV85" s="0"/>
      <c r="ALW85" s="0"/>
      <c r="ALX85" s="0"/>
      <c r="ALY85" s="0"/>
      <c r="ALZ85" s="0"/>
      <c r="AMA85" s="0"/>
      <c r="AMB85" s="0"/>
      <c r="AMC85" s="0"/>
      <c r="AMD85" s="0"/>
      <c r="AME85" s="0"/>
      <c r="AMF85" s="0"/>
      <c r="AMG85" s="0"/>
      <c r="AMH85" s="0"/>
      <c r="AMI85" s="0"/>
      <c r="AMJ85" s="0"/>
    </row>
    <row r="86" s="14" customFormat="true" ht="12.8" hidden="false" customHeight="false" outlineLevel="0" collapsed="false">
      <c r="A86" s="18" t="n">
        <v>85</v>
      </c>
      <c r="B86" s="6" t="n">
        <v>1</v>
      </c>
      <c r="C86" s="7" t="b">
        <v>1</v>
      </c>
      <c r="D86" s="7" t="b">
        <v>0</v>
      </c>
      <c r="E86" s="7" t="b">
        <v>0</v>
      </c>
      <c r="F86" s="6" t="n">
        <v>39</v>
      </c>
      <c r="G86" s="6"/>
      <c r="H86" s="16"/>
      <c r="I86" s="7"/>
      <c r="J86" s="7"/>
      <c r="K86" s="7" t="b">
        <v>0</v>
      </c>
      <c r="L86" s="6" t="n">
        <v>45</v>
      </c>
      <c r="M86" s="6" t="n">
        <v>25.26</v>
      </c>
      <c r="N86" s="6" t="n">
        <v>1</v>
      </c>
      <c r="O86" s="7" t="b">
        <v>0</v>
      </c>
      <c r="P86" s="7" t="b">
        <v>0</v>
      </c>
      <c r="Q86" s="7" t="b">
        <v>0</v>
      </c>
      <c r="R86" s="7" t="b">
        <v>0</v>
      </c>
      <c r="S86" s="7" t="b">
        <v>0</v>
      </c>
      <c r="T86" s="7" t="b">
        <v>1</v>
      </c>
      <c r="U86" s="7" t="b">
        <v>0</v>
      </c>
      <c r="V86" s="6" t="n">
        <v>1</v>
      </c>
      <c r="W86" s="17"/>
      <c r="X86" s="6"/>
      <c r="Y86" s="6"/>
      <c r="Z86" s="6"/>
      <c r="AA86" s="6"/>
      <c r="AB86" s="6"/>
      <c r="AC86" s="6"/>
      <c r="AD86" s="6"/>
      <c r="AE86" s="7"/>
      <c r="AF86" s="7"/>
      <c r="AG86" s="7"/>
      <c r="AH86" s="7"/>
      <c r="AI86" s="7"/>
      <c r="AJ86" s="7" t="b">
        <v>0</v>
      </c>
      <c r="AKX86" s="0"/>
      <c r="AKY86" s="0"/>
      <c r="AKZ86" s="0"/>
      <c r="ALA86" s="0"/>
      <c r="ALB86" s="0"/>
      <c r="ALC86" s="0"/>
      <c r="ALD86" s="0"/>
      <c r="ALE86" s="0"/>
      <c r="ALF86" s="0"/>
      <c r="ALG86" s="0"/>
      <c r="ALH86" s="0"/>
      <c r="ALI86" s="0"/>
      <c r="ALJ86" s="0"/>
      <c r="ALK86" s="0"/>
      <c r="ALL86" s="0"/>
      <c r="ALM86" s="0"/>
      <c r="ALN86" s="0"/>
      <c r="ALO86" s="0"/>
      <c r="ALP86" s="0"/>
      <c r="ALQ86" s="0"/>
      <c r="ALR86" s="0"/>
      <c r="ALS86" s="0"/>
      <c r="ALT86" s="0"/>
      <c r="ALU86" s="0"/>
      <c r="ALV86" s="0"/>
      <c r="ALW86" s="0"/>
      <c r="ALX86" s="0"/>
      <c r="ALY86" s="0"/>
      <c r="ALZ86" s="0"/>
      <c r="AMA86" s="0"/>
      <c r="AMB86" s="0"/>
      <c r="AMC86" s="0"/>
      <c r="AMD86" s="0"/>
      <c r="AME86" s="0"/>
      <c r="AMF86" s="0"/>
      <c r="AMG86" s="0"/>
      <c r="AMH86" s="0"/>
      <c r="AMI86" s="0"/>
      <c r="AMJ86" s="0"/>
    </row>
    <row r="87" s="14" customFormat="true" ht="12.8" hidden="false" customHeight="false" outlineLevel="0" collapsed="false">
      <c r="A87" s="18" t="n">
        <v>86</v>
      </c>
      <c r="B87" s="6" t="n">
        <v>1</v>
      </c>
      <c r="C87" s="7" t="b">
        <v>1</v>
      </c>
      <c r="D87" s="7" t="b">
        <v>0</v>
      </c>
      <c r="E87" s="7" t="b">
        <v>0</v>
      </c>
      <c r="F87" s="6" t="n">
        <v>18</v>
      </c>
      <c r="G87" s="6"/>
      <c r="H87" s="16" t="b">
        <v>0</v>
      </c>
      <c r="I87" s="7" t="b">
        <v>0</v>
      </c>
      <c r="J87" s="7" t="b">
        <v>1</v>
      </c>
      <c r="K87" s="7" t="b">
        <v>1</v>
      </c>
      <c r="L87" s="6" t="n">
        <v>45</v>
      </c>
      <c r="M87" s="6" t="n">
        <v>32.87</v>
      </c>
      <c r="N87" s="6" t="n">
        <v>2</v>
      </c>
      <c r="O87" s="7" t="b">
        <v>0</v>
      </c>
      <c r="P87" s="7" t="b">
        <v>0</v>
      </c>
      <c r="Q87" s="7" t="b">
        <v>0</v>
      </c>
      <c r="R87" s="7" t="b">
        <v>0</v>
      </c>
      <c r="S87" s="7" t="b">
        <v>0</v>
      </c>
      <c r="T87" s="7" t="b">
        <v>0</v>
      </c>
      <c r="U87" s="7" t="b">
        <v>0</v>
      </c>
      <c r="V87" s="6" t="n">
        <v>0</v>
      </c>
      <c r="W87" s="17" t="n">
        <v>10</v>
      </c>
      <c r="X87" s="6" t="n">
        <v>0.4</v>
      </c>
      <c r="Y87" s="6" t="n">
        <v>6.76</v>
      </c>
      <c r="Z87" s="6" t="n">
        <f aca="false">(Y87*7.5006157584566)/X87</f>
        <v>126.760406317917</v>
      </c>
      <c r="AA87" s="6" t="n">
        <v>41</v>
      </c>
      <c r="AB87" s="6" t="n">
        <v>900</v>
      </c>
      <c r="AC87" s="6" t="n">
        <v>13.02</v>
      </c>
      <c r="AD87" s="6" t="n">
        <v>36.7</v>
      </c>
      <c r="AE87" s="7" t="b">
        <v>0</v>
      </c>
      <c r="AF87" s="7" t="b">
        <v>0</v>
      </c>
      <c r="AG87" s="7" t="b">
        <v>1</v>
      </c>
      <c r="AH87" s="7" t="b">
        <v>1</v>
      </c>
      <c r="AI87" s="7" t="b">
        <v>0</v>
      </c>
      <c r="AJ87" s="7" t="b">
        <v>0</v>
      </c>
      <c r="AKX87" s="0"/>
      <c r="AKY87" s="0"/>
      <c r="AKZ87" s="0"/>
      <c r="ALA87" s="0"/>
      <c r="ALB87" s="0"/>
      <c r="ALC87" s="0"/>
      <c r="ALD87" s="0"/>
      <c r="ALE87" s="0"/>
      <c r="ALF87" s="0"/>
      <c r="ALG87" s="0"/>
      <c r="ALH87" s="0"/>
      <c r="ALI87" s="0"/>
      <c r="ALJ87" s="0"/>
      <c r="ALK87" s="0"/>
      <c r="ALL87" s="0"/>
      <c r="ALM87" s="0"/>
      <c r="ALN87" s="0"/>
      <c r="ALO87" s="0"/>
      <c r="ALP87" s="0"/>
      <c r="ALQ87" s="0"/>
      <c r="ALR87" s="0"/>
      <c r="ALS87" s="0"/>
      <c r="ALT87" s="0"/>
      <c r="ALU87" s="0"/>
      <c r="ALV87" s="0"/>
      <c r="ALW87" s="0"/>
      <c r="ALX87" s="0"/>
      <c r="ALY87" s="0"/>
      <c r="ALZ87" s="0"/>
      <c r="AMA87" s="0"/>
      <c r="AMB87" s="0"/>
      <c r="AMC87" s="0"/>
      <c r="AMD87" s="0"/>
      <c r="AME87" s="0"/>
      <c r="AMF87" s="0"/>
      <c r="AMG87" s="0"/>
      <c r="AMH87" s="0"/>
      <c r="AMI87" s="0"/>
      <c r="AMJ87" s="0"/>
    </row>
    <row r="88" s="14" customFormat="true" ht="12.8" hidden="false" customHeight="false" outlineLevel="0" collapsed="false">
      <c r="A88" s="18" t="n">
        <v>87</v>
      </c>
      <c r="B88" s="6" t="n">
        <v>1</v>
      </c>
      <c r="C88" s="7" t="b">
        <v>1</v>
      </c>
      <c r="D88" s="7" t="b">
        <v>0</v>
      </c>
      <c r="E88" s="7" t="b">
        <v>0</v>
      </c>
      <c r="F88" s="6" t="n">
        <v>18</v>
      </c>
      <c r="G88" s="6"/>
      <c r="H88" s="16" t="b">
        <v>0</v>
      </c>
      <c r="I88" s="7" t="b">
        <v>0</v>
      </c>
      <c r="J88" s="7" t="b">
        <v>1</v>
      </c>
      <c r="K88" s="7" t="b">
        <v>0</v>
      </c>
      <c r="L88" s="6" t="n">
        <v>41</v>
      </c>
      <c r="M88" s="6" t="n">
        <v>40.75</v>
      </c>
      <c r="N88" s="6" t="n">
        <v>1</v>
      </c>
      <c r="O88" s="7" t="b">
        <v>0</v>
      </c>
      <c r="P88" s="7" t="b">
        <v>0</v>
      </c>
      <c r="Q88" s="7" t="b">
        <v>0</v>
      </c>
      <c r="R88" s="7" t="b">
        <v>0</v>
      </c>
      <c r="S88" s="7" t="b">
        <v>0</v>
      </c>
      <c r="T88" s="7" t="b">
        <v>0</v>
      </c>
      <c r="U88" s="7" t="b">
        <v>0</v>
      </c>
      <c r="V88" s="6" t="n">
        <v>0</v>
      </c>
      <c r="W88" s="17"/>
      <c r="X88" s="6" t="n">
        <v>0.5</v>
      </c>
      <c r="Y88" s="6" t="n">
        <v>7.59</v>
      </c>
      <c r="Z88" s="6" t="n">
        <f aca="false">(Y88*7.5006157584566)/X88</f>
        <v>113.859347213371</v>
      </c>
      <c r="AA88" s="6" t="n">
        <v>5</v>
      </c>
      <c r="AB88" s="6" t="n">
        <v>1705</v>
      </c>
      <c r="AC88" s="6" t="n">
        <v>6.71</v>
      </c>
      <c r="AD88" s="6" t="n">
        <v>37.6</v>
      </c>
      <c r="AE88" s="7" t="b">
        <v>0</v>
      </c>
      <c r="AF88" s="7" t="b">
        <v>0</v>
      </c>
      <c r="AG88" s="7" t="b">
        <v>1</v>
      </c>
      <c r="AH88" s="7" t="b">
        <v>0</v>
      </c>
      <c r="AI88" s="7" t="b">
        <v>0</v>
      </c>
      <c r="AJ88" s="7" t="b">
        <v>0</v>
      </c>
      <c r="AKX88" s="0"/>
      <c r="AKY88" s="0"/>
      <c r="AKZ88" s="0"/>
      <c r="ALA88" s="0"/>
      <c r="ALB88" s="0"/>
      <c r="ALC88" s="0"/>
      <c r="ALD88" s="0"/>
      <c r="ALE88" s="0"/>
      <c r="ALF88" s="0"/>
      <c r="ALG88" s="0"/>
      <c r="ALH88" s="0"/>
      <c r="ALI88" s="0"/>
      <c r="ALJ88" s="0"/>
      <c r="ALK88" s="0"/>
      <c r="ALL88" s="0"/>
      <c r="ALM88" s="0"/>
      <c r="ALN88" s="0"/>
      <c r="ALO88" s="0"/>
      <c r="ALP88" s="0"/>
      <c r="ALQ88" s="0"/>
      <c r="ALR88" s="0"/>
      <c r="ALS88" s="0"/>
      <c r="ALT88" s="0"/>
      <c r="ALU88" s="0"/>
      <c r="ALV88" s="0"/>
      <c r="ALW88" s="0"/>
      <c r="ALX88" s="0"/>
      <c r="ALY88" s="0"/>
      <c r="ALZ88" s="0"/>
      <c r="AMA88" s="0"/>
      <c r="AMB88" s="0"/>
      <c r="AMC88" s="0"/>
      <c r="AMD88" s="0"/>
      <c r="AME88" s="0"/>
      <c r="AMF88" s="0"/>
      <c r="AMG88" s="0"/>
      <c r="AMH88" s="0"/>
      <c r="AMI88" s="0"/>
      <c r="AMJ88" s="0"/>
    </row>
    <row r="89" s="14" customFormat="true" ht="12.8" hidden="false" customHeight="false" outlineLevel="0" collapsed="false">
      <c r="A89" s="19" t="n">
        <v>1</v>
      </c>
      <c r="B89" s="6" t="n">
        <v>2</v>
      </c>
      <c r="C89" s="7" t="b">
        <v>0</v>
      </c>
      <c r="D89" s="7" t="b">
        <v>0</v>
      </c>
      <c r="E89" s="7" t="b">
        <v>0</v>
      </c>
      <c r="F89" s="6" t="n">
        <v>9</v>
      </c>
      <c r="G89" s="14" t="n">
        <v>4</v>
      </c>
      <c r="H89" s="16" t="b">
        <v>0</v>
      </c>
      <c r="I89" s="7"/>
      <c r="J89" s="7" t="b">
        <v>0</v>
      </c>
      <c r="K89" s="7" t="b">
        <v>0</v>
      </c>
      <c r="L89" s="6" t="n">
        <v>40</v>
      </c>
      <c r="M89" s="6" t="n">
        <v>34.2</v>
      </c>
      <c r="N89" s="6" t="n">
        <v>0</v>
      </c>
      <c r="O89" s="7" t="b">
        <v>1</v>
      </c>
      <c r="P89" s="7" t="b">
        <v>0</v>
      </c>
      <c r="Q89" s="7" t="b">
        <v>0</v>
      </c>
      <c r="R89" s="7" t="b">
        <v>0</v>
      </c>
      <c r="S89" s="7" t="b">
        <v>0</v>
      </c>
      <c r="T89" s="7" t="b">
        <v>0</v>
      </c>
      <c r="U89" s="7" t="b">
        <v>0</v>
      </c>
      <c r="V89" s="6" t="n">
        <v>0</v>
      </c>
      <c r="W89" s="17"/>
      <c r="X89" s="6" t="n">
        <v>0.35</v>
      </c>
      <c r="Y89" s="6" t="n">
        <v>8.19</v>
      </c>
      <c r="Z89" s="6" t="n">
        <f aca="false">(Y89*7.5006157584566)/X89</f>
        <v>175.514408747884</v>
      </c>
      <c r="AA89" s="6" t="n">
        <v>65</v>
      </c>
      <c r="AB89" s="6"/>
      <c r="AC89" s="6"/>
      <c r="AD89" s="6" t="n">
        <v>37</v>
      </c>
      <c r="AE89" s="7" t="b">
        <v>0</v>
      </c>
      <c r="AF89" s="7" t="b">
        <v>0</v>
      </c>
      <c r="AG89" s="7" t="b">
        <v>0</v>
      </c>
      <c r="AH89" s="7" t="b">
        <v>0</v>
      </c>
      <c r="AI89" s="7" t="b">
        <v>0</v>
      </c>
      <c r="AJ89" s="7" t="b">
        <v>1</v>
      </c>
      <c r="AKX89" s="0"/>
      <c r="AKY89" s="0"/>
      <c r="AKZ89" s="0"/>
      <c r="ALA89" s="0"/>
      <c r="ALB89" s="0"/>
      <c r="ALC89" s="0"/>
      <c r="ALD89" s="0"/>
      <c r="ALE89" s="0"/>
      <c r="ALF89" s="0"/>
      <c r="ALG89" s="0"/>
      <c r="ALH89" s="0"/>
      <c r="ALI89" s="0"/>
      <c r="ALJ89" s="0"/>
      <c r="ALK89" s="0"/>
      <c r="ALL89" s="0"/>
      <c r="ALM89" s="0"/>
      <c r="ALN89" s="0"/>
      <c r="ALO89" s="0"/>
      <c r="ALP89" s="0"/>
      <c r="ALQ89" s="0"/>
      <c r="ALR89" s="0"/>
      <c r="ALS89" s="0"/>
      <c r="ALT89" s="0"/>
      <c r="ALU89" s="0"/>
      <c r="ALV89" s="0"/>
      <c r="ALW89" s="0"/>
      <c r="ALX89" s="0"/>
      <c r="ALY89" s="0"/>
      <c r="ALZ89" s="0"/>
      <c r="AMA89" s="0"/>
      <c r="AMB89" s="0"/>
      <c r="AMC89" s="0"/>
      <c r="AMD89" s="0"/>
      <c r="AME89" s="0"/>
      <c r="AMF89" s="0"/>
      <c r="AMG89" s="0"/>
      <c r="AMH89" s="0"/>
      <c r="AMI89" s="0"/>
      <c r="AMJ89" s="0"/>
    </row>
    <row r="90" s="14" customFormat="true" ht="12.8" hidden="false" customHeight="false" outlineLevel="0" collapsed="false">
      <c r="A90" s="19" t="n">
        <v>3</v>
      </c>
      <c r="B90" s="6" t="n">
        <v>2</v>
      </c>
      <c r="C90" s="7" t="b">
        <v>0</v>
      </c>
      <c r="D90" s="7" t="b">
        <v>0</v>
      </c>
      <c r="E90" s="7" t="b">
        <v>0</v>
      </c>
      <c r="F90" s="6" t="n">
        <v>24</v>
      </c>
      <c r="G90" s="14" t="n">
        <v>10</v>
      </c>
      <c r="H90" s="16" t="b">
        <v>0</v>
      </c>
      <c r="I90" s="7" t="b">
        <v>0</v>
      </c>
      <c r="J90" s="7" t="b">
        <v>1</v>
      </c>
      <c r="K90" s="7" t="b">
        <v>0</v>
      </c>
      <c r="L90" s="6" t="n">
        <v>79</v>
      </c>
      <c r="M90" s="6" t="n">
        <v>27.2</v>
      </c>
      <c r="N90" s="6" t="n">
        <v>1</v>
      </c>
      <c r="O90" s="7" t="b">
        <v>0</v>
      </c>
      <c r="P90" s="7" t="b">
        <v>1</v>
      </c>
      <c r="Q90" s="7" t="b">
        <v>0</v>
      </c>
      <c r="R90" s="7" t="b">
        <v>0</v>
      </c>
      <c r="S90" s="7" t="b">
        <v>0</v>
      </c>
      <c r="T90" s="7" t="b">
        <v>0</v>
      </c>
      <c r="U90" s="7" t="b">
        <v>0</v>
      </c>
      <c r="V90" s="6" t="n">
        <v>0</v>
      </c>
      <c r="W90" s="17" t="n">
        <v>8</v>
      </c>
      <c r="X90" s="6" t="n">
        <v>0.3</v>
      </c>
      <c r="Y90" s="6" t="n">
        <v>8.43</v>
      </c>
      <c r="Z90" s="6" t="n">
        <f aca="false">(Y90*7.5006157584566)/X90</f>
        <v>210.76730281263</v>
      </c>
      <c r="AA90" s="6" t="n">
        <v>300</v>
      </c>
      <c r="AB90" s="6" t="n">
        <v>1806</v>
      </c>
      <c r="AC90" s="6" t="n">
        <v>80</v>
      </c>
      <c r="AD90" s="6" t="n">
        <v>38.2</v>
      </c>
      <c r="AE90" s="7" t="b">
        <v>1</v>
      </c>
      <c r="AF90" s="7" t="b">
        <v>0</v>
      </c>
      <c r="AG90" s="7" t="b">
        <v>1</v>
      </c>
      <c r="AH90" s="7" t="b">
        <v>0</v>
      </c>
      <c r="AI90" s="7" t="b">
        <v>1</v>
      </c>
      <c r="AJ90" s="7" t="b">
        <v>1</v>
      </c>
      <c r="AKX90" s="0"/>
      <c r="AKY90" s="0"/>
      <c r="AKZ90" s="0"/>
      <c r="ALA90" s="0"/>
      <c r="ALB90" s="0"/>
      <c r="ALC90" s="0"/>
      <c r="ALD90" s="0"/>
      <c r="ALE90" s="0"/>
      <c r="ALF90" s="0"/>
      <c r="ALG90" s="0"/>
      <c r="ALH90" s="0"/>
      <c r="ALI90" s="0"/>
      <c r="ALJ90" s="0"/>
      <c r="ALK90" s="0"/>
      <c r="ALL90" s="0"/>
      <c r="ALM90" s="0"/>
      <c r="ALN90" s="0"/>
      <c r="ALO90" s="0"/>
      <c r="ALP90" s="0"/>
      <c r="ALQ90" s="0"/>
      <c r="ALR90" s="0"/>
      <c r="ALS90" s="0"/>
      <c r="ALT90" s="0"/>
      <c r="ALU90" s="0"/>
      <c r="ALV90" s="0"/>
      <c r="ALW90" s="0"/>
      <c r="ALX90" s="0"/>
      <c r="ALY90" s="0"/>
      <c r="ALZ90" s="0"/>
      <c r="AMA90" s="0"/>
      <c r="AMB90" s="0"/>
      <c r="AMC90" s="0"/>
      <c r="AMD90" s="0"/>
      <c r="AME90" s="0"/>
      <c r="AMF90" s="0"/>
      <c r="AMG90" s="0"/>
      <c r="AMH90" s="0"/>
      <c r="AMI90" s="0"/>
      <c r="AMJ90" s="0"/>
    </row>
    <row r="91" s="14" customFormat="true" ht="12.8" hidden="false" customHeight="false" outlineLevel="0" collapsed="false">
      <c r="A91" s="19" t="n">
        <v>4</v>
      </c>
      <c r="B91" s="6" t="n">
        <v>2</v>
      </c>
      <c r="C91" s="7" t="b">
        <v>0</v>
      </c>
      <c r="D91" s="7" t="b">
        <v>0</v>
      </c>
      <c r="E91" s="7" t="b">
        <v>0</v>
      </c>
      <c r="F91" s="6" t="n">
        <v>12</v>
      </c>
      <c r="G91" s="14" t="n">
        <v>4</v>
      </c>
      <c r="H91" s="16" t="b">
        <v>0</v>
      </c>
      <c r="I91" s="7"/>
      <c r="J91" s="7" t="b">
        <v>0</v>
      </c>
      <c r="K91" s="7" t="b">
        <v>0</v>
      </c>
      <c r="L91" s="6" t="n">
        <v>55</v>
      </c>
      <c r="M91" s="6" t="n">
        <v>22.5</v>
      </c>
      <c r="N91" s="6" t="n">
        <v>2</v>
      </c>
      <c r="O91" s="7" t="b">
        <v>0</v>
      </c>
      <c r="P91" s="7" t="b">
        <v>0</v>
      </c>
      <c r="Q91" s="7" t="b">
        <v>0</v>
      </c>
      <c r="R91" s="7" t="b">
        <v>0</v>
      </c>
      <c r="S91" s="7" t="b">
        <v>0</v>
      </c>
      <c r="T91" s="7" t="b">
        <v>0</v>
      </c>
      <c r="U91" s="7" t="b">
        <v>0</v>
      </c>
      <c r="V91" s="6" t="n">
        <v>0</v>
      </c>
      <c r="W91" s="17"/>
      <c r="X91" s="6"/>
      <c r="Y91" s="6"/>
      <c r="Z91" s="6"/>
      <c r="AA91" s="6" t="n">
        <v>33</v>
      </c>
      <c r="AB91" s="6" t="n">
        <v>1235</v>
      </c>
      <c r="AC91" s="6" t="n">
        <v>0.55</v>
      </c>
      <c r="AD91" s="6" t="n">
        <v>36.9</v>
      </c>
      <c r="AE91" s="7" t="b">
        <v>0</v>
      </c>
      <c r="AF91" s="7" t="b">
        <v>0</v>
      </c>
      <c r="AG91" s="7" t="b">
        <v>0</v>
      </c>
      <c r="AH91" s="7" t="b">
        <v>0</v>
      </c>
      <c r="AI91" s="7" t="b">
        <v>0</v>
      </c>
      <c r="AJ91" s="7" t="b">
        <v>1</v>
      </c>
      <c r="AKX91" s="0"/>
      <c r="AKY91" s="0"/>
      <c r="AKZ91" s="0"/>
      <c r="ALA91" s="0"/>
      <c r="ALB91" s="0"/>
      <c r="ALC91" s="0"/>
      <c r="ALD91" s="0"/>
      <c r="ALE91" s="0"/>
      <c r="ALF91" s="0"/>
      <c r="ALG91" s="0"/>
      <c r="ALH91" s="0"/>
      <c r="ALI91" s="0"/>
      <c r="ALJ91" s="0"/>
      <c r="ALK91" s="0"/>
      <c r="ALL91" s="0"/>
      <c r="ALM91" s="0"/>
      <c r="ALN91" s="0"/>
      <c r="ALO91" s="0"/>
      <c r="ALP91" s="0"/>
      <c r="ALQ91" s="0"/>
      <c r="ALR91" s="0"/>
      <c r="ALS91" s="0"/>
      <c r="ALT91" s="0"/>
      <c r="ALU91" s="0"/>
      <c r="ALV91" s="0"/>
      <c r="ALW91" s="0"/>
      <c r="ALX91" s="0"/>
      <c r="ALY91" s="0"/>
      <c r="ALZ91" s="0"/>
      <c r="AMA91" s="0"/>
      <c r="AMB91" s="0"/>
      <c r="AMC91" s="0"/>
      <c r="AMD91" s="0"/>
      <c r="AME91" s="0"/>
      <c r="AMF91" s="0"/>
      <c r="AMG91" s="0"/>
      <c r="AMH91" s="0"/>
      <c r="AMI91" s="0"/>
      <c r="AMJ91" s="0"/>
    </row>
    <row r="92" s="14" customFormat="true" ht="12.8" hidden="false" customHeight="false" outlineLevel="0" collapsed="false">
      <c r="A92" s="19" t="n">
        <v>6</v>
      </c>
      <c r="B92" s="6" t="n">
        <v>2</v>
      </c>
      <c r="C92" s="7" t="b">
        <v>0</v>
      </c>
      <c r="D92" s="7" t="b">
        <v>0</v>
      </c>
      <c r="E92" s="7" t="b">
        <v>0</v>
      </c>
      <c r="F92" s="6" t="n">
        <v>9</v>
      </c>
      <c r="G92" s="14" t="n">
        <v>4</v>
      </c>
      <c r="H92" s="16" t="b">
        <v>0</v>
      </c>
      <c r="I92" s="7"/>
      <c r="J92" s="7" t="b">
        <v>0</v>
      </c>
      <c r="K92" s="7" t="b">
        <v>0</v>
      </c>
      <c r="L92" s="6" t="n">
        <v>60</v>
      </c>
      <c r="M92" s="6" t="n">
        <v>22.8</v>
      </c>
      <c r="N92" s="6" t="n">
        <v>0</v>
      </c>
      <c r="O92" s="7" t="b">
        <v>0</v>
      </c>
      <c r="P92" s="7" t="b">
        <v>0</v>
      </c>
      <c r="Q92" s="7" t="b">
        <v>0</v>
      </c>
      <c r="R92" s="7" t="b">
        <v>0</v>
      </c>
      <c r="S92" s="7" t="b">
        <v>0</v>
      </c>
      <c r="T92" s="7" t="b">
        <v>0</v>
      </c>
      <c r="U92" s="7" t="b">
        <v>0</v>
      </c>
      <c r="V92" s="6" t="n">
        <v>0</v>
      </c>
      <c r="W92" s="17"/>
      <c r="X92" s="6" t="n">
        <v>0.28</v>
      </c>
      <c r="Y92" s="6" t="n">
        <v>8.72</v>
      </c>
      <c r="Z92" s="6" t="n">
        <f aca="false">(Y92*7.5006157584566)/X92</f>
        <v>233.590605049077</v>
      </c>
      <c r="AA92" s="6" t="n">
        <v>25</v>
      </c>
      <c r="AB92" s="6" t="n">
        <v>506</v>
      </c>
      <c r="AC92" s="6" t="n">
        <v>2.5</v>
      </c>
      <c r="AD92" s="6" t="n">
        <v>36.6</v>
      </c>
      <c r="AE92" s="7" t="b">
        <v>0</v>
      </c>
      <c r="AF92" s="7" t="b">
        <v>0</v>
      </c>
      <c r="AG92" s="7" t="b">
        <v>0</v>
      </c>
      <c r="AH92" s="7" t="b">
        <v>0</v>
      </c>
      <c r="AI92" s="7" t="b">
        <v>0</v>
      </c>
      <c r="AJ92" s="7" t="b">
        <v>1</v>
      </c>
      <c r="AKX92" s="0"/>
      <c r="AKY92" s="0"/>
      <c r="AKZ92" s="0"/>
      <c r="ALA92" s="0"/>
      <c r="ALB92" s="0"/>
      <c r="ALC92" s="0"/>
      <c r="ALD92" s="0"/>
      <c r="ALE92" s="0"/>
      <c r="ALF92" s="0"/>
      <c r="ALG92" s="0"/>
      <c r="ALH92" s="0"/>
      <c r="ALI92" s="0"/>
      <c r="ALJ92" s="0"/>
      <c r="ALK92" s="0"/>
      <c r="ALL92" s="0"/>
      <c r="ALM92" s="0"/>
      <c r="ALN92" s="0"/>
      <c r="ALO92" s="0"/>
      <c r="ALP92" s="0"/>
      <c r="ALQ92" s="0"/>
      <c r="ALR92" s="0"/>
      <c r="ALS92" s="0"/>
      <c r="ALT92" s="0"/>
      <c r="ALU92" s="0"/>
      <c r="ALV92" s="0"/>
      <c r="ALW92" s="0"/>
      <c r="ALX92" s="0"/>
      <c r="ALY92" s="0"/>
      <c r="ALZ92" s="0"/>
      <c r="AMA92" s="0"/>
      <c r="AMB92" s="0"/>
      <c r="AMC92" s="0"/>
      <c r="AMD92" s="0"/>
      <c r="AME92" s="0"/>
      <c r="AMF92" s="0"/>
      <c r="AMG92" s="0"/>
      <c r="AMH92" s="0"/>
      <c r="AMI92" s="0"/>
      <c r="AMJ92" s="0"/>
    </row>
    <row r="93" s="14" customFormat="true" ht="12.8" hidden="false" customHeight="false" outlineLevel="0" collapsed="false">
      <c r="A93" s="19" t="n">
        <v>7</v>
      </c>
      <c r="B93" s="6" t="n">
        <v>2</v>
      </c>
      <c r="C93" s="7" t="b">
        <v>0</v>
      </c>
      <c r="D93" s="7" t="b">
        <v>0</v>
      </c>
      <c r="E93" s="7" t="b">
        <v>0</v>
      </c>
      <c r="F93" s="6" t="n">
        <v>22</v>
      </c>
      <c r="G93" s="14" t="n">
        <v>12</v>
      </c>
      <c r="H93" s="16" t="b">
        <v>1</v>
      </c>
      <c r="I93" s="7" t="b">
        <v>1</v>
      </c>
      <c r="J93" s="7" t="b">
        <v>1</v>
      </c>
      <c r="K93" s="7" t="b">
        <v>0</v>
      </c>
      <c r="L93" s="6" t="n">
        <v>33</v>
      </c>
      <c r="M93" s="6" t="n">
        <v>24.9</v>
      </c>
      <c r="N93" s="6" t="n">
        <v>4</v>
      </c>
      <c r="O93" s="7" t="b">
        <v>0</v>
      </c>
      <c r="P93" s="7" t="b">
        <v>0</v>
      </c>
      <c r="Q93" s="7" t="b">
        <v>0</v>
      </c>
      <c r="R93" s="7" t="b">
        <v>0</v>
      </c>
      <c r="S93" s="7" t="b">
        <v>0</v>
      </c>
      <c r="T93" s="7" t="b">
        <v>0</v>
      </c>
      <c r="U93" s="7" t="b">
        <v>0</v>
      </c>
      <c r="V93" s="6" t="n">
        <v>0</v>
      </c>
      <c r="W93" s="17" t="n">
        <v>10</v>
      </c>
      <c r="X93" s="6" t="n">
        <v>0.45</v>
      </c>
      <c r="Y93" s="6" t="n">
        <v>8.26</v>
      </c>
      <c r="Z93" s="6" t="n">
        <f aca="false">(Y93*7.5006157584566)/X93</f>
        <v>137.677969255226</v>
      </c>
      <c r="AA93" s="6" t="n">
        <v>290</v>
      </c>
      <c r="AB93" s="6" t="n">
        <v>1736</v>
      </c>
      <c r="AC93" s="6" t="n">
        <v>3.71</v>
      </c>
      <c r="AD93" s="6" t="n">
        <v>38.3</v>
      </c>
      <c r="AE93" s="7" t="b">
        <v>0</v>
      </c>
      <c r="AF93" s="7" t="b">
        <v>0</v>
      </c>
      <c r="AG93" s="7" t="b">
        <v>0</v>
      </c>
      <c r="AH93" s="7" t="b">
        <v>0</v>
      </c>
      <c r="AI93" s="7" t="b">
        <v>1</v>
      </c>
      <c r="AJ93" s="7" t="b">
        <v>1</v>
      </c>
      <c r="AKX93" s="0"/>
      <c r="AKY93" s="0"/>
      <c r="AKZ93" s="0"/>
      <c r="ALA93" s="0"/>
      <c r="ALB93" s="0"/>
      <c r="ALC93" s="0"/>
      <c r="ALD93" s="0"/>
      <c r="ALE93" s="0"/>
      <c r="ALF93" s="0"/>
      <c r="ALG93" s="0"/>
      <c r="ALH93" s="0"/>
      <c r="ALI93" s="0"/>
      <c r="ALJ93" s="0"/>
      <c r="ALK93" s="0"/>
      <c r="ALL93" s="0"/>
      <c r="ALM93" s="0"/>
      <c r="ALN93" s="0"/>
      <c r="ALO93" s="0"/>
      <c r="ALP93" s="0"/>
      <c r="ALQ93" s="0"/>
      <c r="ALR93" s="0"/>
      <c r="ALS93" s="0"/>
      <c r="ALT93" s="0"/>
      <c r="ALU93" s="0"/>
      <c r="ALV93" s="0"/>
      <c r="ALW93" s="0"/>
      <c r="ALX93" s="0"/>
      <c r="ALY93" s="0"/>
      <c r="ALZ93" s="0"/>
      <c r="AMA93" s="0"/>
      <c r="AMB93" s="0"/>
      <c r="AMC93" s="0"/>
      <c r="AMD93" s="0"/>
      <c r="AME93" s="0"/>
      <c r="AMF93" s="0"/>
      <c r="AMG93" s="0"/>
      <c r="AMH93" s="0"/>
      <c r="AMI93" s="0"/>
      <c r="AMJ93" s="0"/>
    </row>
    <row r="94" s="14" customFormat="true" ht="12.8" hidden="false" customHeight="false" outlineLevel="0" collapsed="false">
      <c r="A94" s="19" t="n">
        <v>9</v>
      </c>
      <c r="B94" s="6" t="n">
        <v>2</v>
      </c>
      <c r="C94" s="7" t="b">
        <v>0</v>
      </c>
      <c r="D94" s="7" t="b">
        <v>0</v>
      </c>
      <c r="E94" s="7" t="b">
        <v>0</v>
      </c>
      <c r="F94" s="6" t="n">
        <v>16</v>
      </c>
      <c r="G94" s="14" t="n">
        <v>11</v>
      </c>
      <c r="H94" s="16" t="b">
        <v>0</v>
      </c>
      <c r="I94" s="7"/>
      <c r="J94" s="7" t="b">
        <v>0</v>
      </c>
      <c r="K94" s="7" t="b">
        <v>1</v>
      </c>
      <c r="L94" s="6" t="n">
        <v>45</v>
      </c>
      <c r="M94" s="6" t="n">
        <v>36.4</v>
      </c>
      <c r="N94" s="6" t="n">
        <v>0</v>
      </c>
      <c r="O94" s="7" t="b">
        <v>0</v>
      </c>
      <c r="P94" s="7" t="b">
        <v>0</v>
      </c>
      <c r="Q94" s="7" t="b">
        <v>0</v>
      </c>
      <c r="R94" s="7" t="b">
        <v>0</v>
      </c>
      <c r="S94" s="7" t="b">
        <v>1</v>
      </c>
      <c r="T94" s="7" t="b">
        <v>0</v>
      </c>
      <c r="U94" s="7" t="b">
        <v>0</v>
      </c>
      <c r="V94" s="6" t="n">
        <v>0</v>
      </c>
      <c r="W94" s="17" t="n">
        <v>12</v>
      </c>
      <c r="X94" s="6" t="n">
        <v>0.5</v>
      </c>
      <c r="Y94" s="6" t="n">
        <v>6.18</v>
      </c>
      <c r="Z94" s="6" t="n">
        <f aca="false">(Y94*7.5006157584566)/X94</f>
        <v>92.7076107745236</v>
      </c>
      <c r="AA94" s="6" t="n">
        <v>21</v>
      </c>
      <c r="AB94" s="6" t="n">
        <v>204</v>
      </c>
      <c r="AC94" s="6" t="n">
        <v>0.91</v>
      </c>
      <c r="AD94" s="6" t="n">
        <v>37</v>
      </c>
      <c r="AE94" s="7" t="b">
        <v>0</v>
      </c>
      <c r="AF94" s="7" t="b">
        <v>0</v>
      </c>
      <c r="AG94" s="7" t="b">
        <v>0</v>
      </c>
      <c r="AH94" s="7" t="b">
        <v>0</v>
      </c>
      <c r="AI94" s="7" t="b">
        <v>0</v>
      </c>
      <c r="AJ94" s="7" t="b">
        <v>1</v>
      </c>
      <c r="AKX94" s="0"/>
      <c r="AKY94" s="0"/>
      <c r="AKZ94" s="0"/>
      <c r="ALA94" s="0"/>
      <c r="ALB94" s="0"/>
      <c r="ALC94" s="0"/>
      <c r="ALD94" s="0"/>
      <c r="ALE94" s="0"/>
      <c r="ALF94" s="0"/>
      <c r="ALG94" s="0"/>
      <c r="ALH94" s="0"/>
      <c r="ALI94" s="0"/>
      <c r="ALJ94" s="0"/>
      <c r="ALK94" s="0"/>
      <c r="ALL94" s="0"/>
      <c r="ALM94" s="0"/>
      <c r="ALN94" s="0"/>
      <c r="ALO94" s="0"/>
      <c r="ALP94" s="0"/>
      <c r="ALQ94" s="0"/>
      <c r="ALR94" s="0"/>
      <c r="ALS94" s="0"/>
      <c r="ALT94" s="0"/>
      <c r="ALU94" s="0"/>
      <c r="ALV94" s="0"/>
      <c r="ALW94" s="0"/>
      <c r="ALX94" s="0"/>
      <c r="ALY94" s="0"/>
      <c r="ALZ94" s="0"/>
      <c r="AMA94" s="0"/>
      <c r="AMB94" s="0"/>
      <c r="AMC94" s="0"/>
      <c r="AMD94" s="0"/>
      <c r="AME94" s="0"/>
      <c r="AMF94" s="0"/>
      <c r="AMG94" s="0"/>
      <c r="AMH94" s="0"/>
      <c r="AMI94" s="0"/>
      <c r="AMJ94" s="0"/>
    </row>
    <row r="95" s="14" customFormat="true" ht="12.8" hidden="false" customHeight="false" outlineLevel="0" collapsed="false">
      <c r="A95" s="19" t="n">
        <v>10</v>
      </c>
      <c r="B95" s="6" t="n">
        <v>2</v>
      </c>
      <c r="C95" s="7" t="b">
        <v>0</v>
      </c>
      <c r="D95" s="7" t="b">
        <v>0</v>
      </c>
      <c r="E95" s="7" t="b">
        <v>0</v>
      </c>
      <c r="F95" s="6" t="n">
        <v>49</v>
      </c>
      <c r="G95" s="14" t="n">
        <v>14</v>
      </c>
      <c r="H95" s="16" t="b">
        <v>0</v>
      </c>
      <c r="I95" s="7" t="b">
        <v>0</v>
      </c>
      <c r="J95" s="7" t="b">
        <v>1</v>
      </c>
      <c r="K95" s="7" t="b">
        <v>0</v>
      </c>
      <c r="L95" s="6" t="n">
        <v>43</v>
      </c>
      <c r="M95" s="6" t="n">
        <v>28</v>
      </c>
      <c r="N95" s="6" t="n">
        <v>1</v>
      </c>
      <c r="O95" s="7" t="b">
        <v>0</v>
      </c>
      <c r="P95" s="7" t="b">
        <v>0</v>
      </c>
      <c r="Q95" s="7" t="b">
        <v>0</v>
      </c>
      <c r="R95" s="7" t="b">
        <v>0</v>
      </c>
      <c r="S95" s="7" t="b">
        <v>0</v>
      </c>
      <c r="T95" s="7" t="b">
        <v>0</v>
      </c>
      <c r="U95" s="7" t="b">
        <v>0</v>
      </c>
      <c r="V95" s="6" t="n">
        <v>0</v>
      </c>
      <c r="W95" s="17" t="n">
        <v>12</v>
      </c>
      <c r="X95" s="6" t="n">
        <v>0.35</v>
      </c>
      <c r="Y95" s="6" t="n">
        <v>8.74</v>
      </c>
      <c r="Z95" s="6" t="n">
        <f aca="false">(Y95*7.5006157584566)/X95</f>
        <v>187.301090654031</v>
      </c>
      <c r="AA95" s="6" t="n">
        <v>229</v>
      </c>
      <c r="AB95" s="6" t="n">
        <v>4919</v>
      </c>
      <c r="AC95" s="6" t="n">
        <v>8.71</v>
      </c>
      <c r="AD95" s="6" t="n">
        <v>39</v>
      </c>
      <c r="AE95" s="7" t="b">
        <v>1</v>
      </c>
      <c r="AF95" s="7" t="b">
        <v>1</v>
      </c>
      <c r="AG95" s="7" t="b">
        <v>1</v>
      </c>
      <c r="AH95" s="7" t="b">
        <v>0</v>
      </c>
      <c r="AI95" s="7" t="b">
        <v>1</v>
      </c>
      <c r="AJ95" s="7" t="b">
        <v>1</v>
      </c>
      <c r="AKX95" s="0"/>
      <c r="AKY95" s="0"/>
      <c r="AKZ95" s="0"/>
      <c r="ALA95" s="0"/>
      <c r="ALB95" s="0"/>
      <c r="ALC95" s="0"/>
      <c r="ALD95" s="0"/>
      <c r="ALE95" s="0"/>
      <c r="ALF95" s="0"/>
      <c r="ALG95" s="0"/>
      <c r="ALH95" s="0"/>
      <c r="ALI95" s="0"/>
      <c r="ALJ95" s="0"/>
      <c r="ALK95" s="0"/>
      <c r="ALL95" s="0"/>
      <c r="ALM95" s="0"/>
      <c r="ALN95" s="0"/>
      <c r="ALO95" s="0"/>
      <c r="ALP95" s="0"/>
      <c r="ALQ95" s="0"/>
      <c r="ALR95" s="0"/>
      <c r="ALS95" s="0"/>
      <c r="ALT95" s="0"/>
      <c r="ALU95" s="0"/>
      <c r="ALV95" s="0"/>
      <c r="ALW95" s="0"/>
      <c r="ALX95" s="0"/>
      <c r="ALY95" s="0"/>
      <c r="ALZ95" s="0"/>
      <c r="AMA95" s="0"/>
      <c r="AMB95" s="0"/>
      <c r="AMC95" s="0"/>
      <c r="AMD95" s="0"/>
      <c r="AME95" s="0"/>
      <c r="AMF95" s="0"/>
      <c r="AMG95" s="0"/>
      <c r="AMH95" s="0"/>
      <c r="AMI95" s="0"/>
      <c r="AMJ95" s="0"/>
    </row>
    <row r="96" s="14" customFormat="true" ht="12.8" hidden="false" customHeight="false" outlineLevel="0" collapsed="false">
      <c r="A96" s="19" t="n">
        <v>11</v>
      </c>
      <c r="B96" s="6" t="n">
        <v>2</v>
      </c>
      <c r="C96" s="7" t="b">
        <v>0</v>
      </c>
      <c r="D96" s="7" t="b">
        <v>0</v>
      </c>
      <c r="E96" s="7" t="b">
        <v>0</v>
      </c>
      <c r="F96" s="6" t="n">
        <v>20</v>
      </c>
      <c r="G96" s="14" t="n">
        <v>11</v>
      </c>
      <c r="H96" s="16" t="b">
        <v>0</v>
      </c>
      <c r="I96" s="7" t="b">
        <v>0</v>
      </c>
      <c r="J96" s="7" t="b">
        <v>0</v>
      </c>
      <c r="K96" s="7" t="b">
        <v>0</v>
      </c>
      <c r="L96" s="6" t="n">
        <v>34</v>
      </c>
      <c r="M96" s="6" t="n">
        <v>33.5</v>
      </c>
      <c r="N96" s="6" t="n">
        <v>1</v>
      </c>
      <c r="O96" s="7" t="b">
        <v>1</v>
      </c>
      <c r="P96" s="7" t="b">
        <v>0</v>
      </c>
      <c r="Q96" s="7" t="b">
        <v>0</v>
      </c>
      <c r="R96" s="7" t="b">
        <v>0</v>
      </c>
      <c r="S96" s="7" t="b">
        <v>0</v>
      </c>
      <c r="T96" s="7" t="b">
        <v>0</v>
      </c>
      <c r="U96" s="7" t="b">
        <v>0</v>
      </c>
      <c r="V96" s="6" t="n">
        <v>0</v>
      </c>
      <c r="W96" s="17" t="n">
        <v>8</v>
      </c>
      <c r="X96" s="6" t="n">
        <v>0.3</v>
      </c>
      <c r="Y96" s="6" t="n">
        <v>8.35</v>
      </c>
      <c r="Z96" s="6" t="n">
        <f aca="false">(Y96*7.5006157584566)/X96</f>
        <v>208.767138610375</v>
      </c>
      <c r="AA96" s="6" t="n">
        <v>303</v>
      </c>
      <c r="AB96" s="6" t="n">
        <v>860</v>
      </c>
      <c r="AC96" s="6" t="n">
        <v>12.59</v>
      </c>
      <c r="AD96" s="6" t="n">
        <v>39.5</v>
      </c>
      <c r="AE96" s="7" t="b">
        <v>0</v>
      </c>
      <c r="AF96" s="7" t="b">
        <v>0</v>
      </c>
      <c r="AG96" s="7" t="b">
        <v>0</v>
      </c>
      <c r="AH96" s="7" t="b">
        <v>0</v>
      </c>
      <c r="AI96" s="7" t="b">
        <v>1</v>
      </c>
      <c r="AJ96" s="7" t="b">
        <v>1</v>
      </c>
      <c r="AKX96" s="0"/>
      <c r="AKY96" s="0"/>
      <c r="AKZ96" s="0"/>
      <c r="ALA96" s="0"/>
      <c r="ALB96" s="0"/>
      <c r="ALC96" s="0"/>
      <c r="ALD96" s="0"/>
      <c r="ALE96" s="0"/>
      <c r="ALF96" s="0"/>
      <c r="ALG96" s="0"/>
      <c r="ALH96" s="0"/>
      <c r="ALI96" s="0"/>
      <c r="ALJ96" s="0"/>
      <c r="ALK96" s="0"/>
      <c r="ALL96" s="0"/>
      <c r="ALM96" s="0"/>
      <c r="ALN96" s="0"/>
      <c r="ALO96" s="0"/>
      <c r="ALP96" s="0"/>
      <c r="ALQ96" s="0"/>
      <c r="ALR96" s="0"/>
      <c r="ALS96" s="0"/>
      <c r="ALT96" s="0"/>
      <c r="ALU96" s="0"/>
      <c r="ALV96" s="0"/>
      <c r="ALW96" s="0"/>
      <c r="ALX96" s="0"/>
      <c r="ALY96" s="0"/>
      <c r="ALZ96" s="0"/>
      <c r="AMA96" s="0"/>
      <c r="AMB96" s="0"/>
      <c r="AMC96" s="0"/>
      <c r="AMD96" s="0"/>
      <c r="AME96" s="0"/>
      <c r="AMF96" s="0"/>
      <c r="AMG96" s="0"/>
      <c r="AMH96" s="0"/>
      <c r="AMI96" s="0"/>
      <c r="AMJ96" s="0"/>
    </row>
    <row r="97" s="14" customFormat="true" ht="12.8" hidden="false" customHeight="false" outlineLevel="0" collapsed="false">
      <c r="A97" s="19" t="n">
        <v>12</v>
      </c>
      <c r="B97" s="6" t="n">
        <v>2</v>
      </c>
      <c r="C97" s="7" t="b">
        <v>0</v>
      </c>
      <c r="D97" s="7" t="b">
        <v>0</v>
      </c>
      <c r="E97" s="7" t="b">
        <v>0</v>
      </c>
      <c r="F97" s="6" t="n">
        <v>7</v>
      </c>
      <c r="G97" s="14" t="n">
        <v>4</v>
      </c>
      <c r="H97" s="16" t="b">
        <v>0</v>
      </c>
      <c r="I97" s="7"/>
      <c r="J97" s="7" t="b">
        <v>0</v>
      </c>
      <c r="K97" s="7" t="b">
        <v>0</v>
      </c>
      <c r="L97" s="6" t="n">
        <v>55</v>
      </c>
      <c r="M97" s="6" t="n">
        <v>27.2</v>
      </c>
      <c r="N97" s="6" t="n">
        <v>1</v>
      </c>
      <c r="O97" s="7" t="b">
        <v>0</v>
      </c>
      <c r="P97" s="7" t="b">
        <v>1</v>
      </c>
      <c r="Q97" s="7" t="b">
        <v>0</v>
      </c>
      <c r="R97" s="7" t="b">
        <v>0</v>
      </c>
      <c r="S97" s="7" t="b">
        <v>0</v>
      </c>
      <c r="T97" s="7" t="b">
        <v>0</v>
      </c>
      <c r="U97" s="7" t="b">
        <v>0</v>
      </c>
      <c r="V97" s="6" t="n">
        <v>0</v>
      </c>
      <c r="W97" s="17"/>
      <c r="X97" s="6" t="n">
        <v>0.28</v>
      </c>
      <c r="Y97" s="6" t="n">
        <v>12.51</v>
      </c>
      <c r="Z97" s="6" t="n">
        <f aca="false">(Y97*7.5006157584566)/X97</f>
        <v>335.116796922472</v>
      </c>
      <c r="AA97" s="6" t="n">
        <v>151</v>
      </c>
      <c r="AB97" s="6" t="n">
        <v>1886</v>
      </c>
      <c r="AC97" s="6" t="n">
        <v>1.21</v>
      </c>
      <c r="AD97" s="6" t="n">
        <v>37.5</v>
      </c>
      <c r="AE97" s="7" t="b">
        <v>0</v>
      </c>
      <c r="AF97" s="7" t="b">
        <v>0</v>
      </c>
      <c r="AG97" s="7" t="b">
        <v>0</v>
      </c>
      <c r="AH97" s="7" t="b">
        <v>0</v>
      </c>
      <c r="AI97" s="7" t="b">
        <v>0</v>
      </c>
      <c r="AJ97" s="7" t="b">
        <v>1</v>
      </c>
      <c r="AKX97" s="0"/>
      <c r="AKY97" s="0"/>
      <c r="AKZ97" s="0"/>
      <c r="ALA97" s="0"/>
      <c r="ALB97" s="0"/>
      <c r="ALC97" s="0"/>
      <c r="ALD97" s="0"/>
      <c r="ALE97" s="0"/>
      <c r="ALF97" s="0"/>
      <c r="ALG97" s="0"/>
      <c r="ALH97" s="0"/>
      <c r="ALI97" s="0"/>
      <c r="ALJ97" s="0"/>
      <c r="ALK97" s="0"/>
      <c r="ALL97" s="0"/>
      <c r="ALM97" s="0"/>
      <c r="ALN97" s="0"/>
      <c r="ALO97" s="0"/>
      <c r="ALP97" s="0"/>
      <c r="ALQ97" s="0"/>
      <c r="ALR97" s="0"/>
      <c r="ALS97" s="0"/>
      <c r="ALT97" s="0"/>
      <c r="ALU97" s="0"/>
      <c r="ALV97" s="0"/>
      <c r="ALW97" s="0"/>
      <c r="ALX97" s="0"/>
      <c r="ALY97" s="0"/>
      <c r="ALZ97" s="0"/>
      <c r="AMA97" s="0"/>
      <c r="AMB97" s="0"/>
      <c r="AMC97" s="0"/>
      <c r="AMD97" s="0"/>
      <c r="AME97" s="0"/>
      <c r="AMF97" s="0"/>
      <c r="AMG97" s="0"/>
      <c r="AMH97" s="0"/>
      <c r="AMI97" s="0"/>
      <c r="AMJ97" s="0"/>
    </row>
    <row r="98" s="14" customFormat="true" ht="12.8" hidden="false" customHeight="false" outlineLevel="0" collapsed="false">
      <c r="A98" s="19" t="n">
        <v>13</v>
      </c>
      <c r="B98" s="6" t="n">
        <v>2</v>
      </c>
      <c r="C98" s="7" t="b">
        <v>0</v>
      </c>
      <c r="D98" s="7" t="b">
        <v>0</v>
      </c>
      <c r="E98" s="7" t="b">
        <v>0</v>
      </c>
      <c r="F98" s="6" t="n">
        <v>33</v>
      </c>
      <c r="G98" s="14" t="n">
        <v>10</v>
      </c>
      <c r="H98" s="16" t="b">
        <v>0</v>
      </c>
      <c r="I98" s="7" t="b">
        <v>0</v>
      </c>
      <c r="J98" s="7" t="b">
        <v>1</v>
      </c>
      <c r="K98" s="7" t="b">
        <v>1</v>
      </c>
      <c r="L98" s="6" t="n">
        <v>52</v>
      </c>
      <c r="M98" s="6" t="n">
        <v>34.7</v>
      </c>
      <c r="N98" s="6" t="n">
        <v>1</v>
      </c>
      <c r="O98" s="7" t="b">
        <v>1</v>
      </c>
      <c r="P98" s="7" t="b">
        <v>0</v>
      </c>
      <c r="Q98" s="7" t="b">
        <v>0</v>
      </c>
      <c r="R98" s="7" t="b">
        <v>0</v>
      </c>
      <c r="S98" s="7" t="b">
        <v>0</v>
      </c>
      <c r="T98" s="7" t="b">
        <v>0</v>
      </c>
      <c r="U98" s="7" t="b">
        <v>0</v>
      </c>
      <c r="V98" s="6" t="n">
        <v>0</v>
      </c>
      <c r="W98" s="17" t="n">
        <v>12</v>
      </c>
      <c r="X98" s="6" t="n">
        <v>0.28</v>
      </c>
      <c r="Y98" s="6" t="n">
        <v>8.36</v>
      </c>
      <c r="Z98" s="6" t="n">
        <f aca="false">(Y98*7.5006157584566)/X98</f>
        <v>223.946956216776</v>
      </c>
      <c r="AA98" s="6" t="n">
        <v>132</v>
      </c>
      <c r="AB98" s="6" t="n">
        <v>2320</v>
      </c>
      <c r="AC98" s="6" t="n">
        <v>19.56</v>
      </c>
      <c r="AD98" s="6" t="n">
        <v>36.7</v>
      </c>
      <c r="AE98" s="7" t="b">
        <v>1</v>
      </c>
      <c r="AF98" s="7" t="b">
        <v>1</v>
      </c>
      <c r="AG98" s="7" t="b">
        <v>1</v>
      </c>
      <c r="AH98" s="7" t="b">
        <v>0</v>
      </c>
      <c r="AI98" s="7" t="b">
        <v>0</v>
      </c>
      <c r="AJ98" s="7" t="b">
        <v>1</v>
      </c>
      <c r="AKX98" s="0"/>
      <c r="AKY98" s="0"/>
      <c r="AKZ98" s="0"/>
      <c r="ALA98" s="0"/>
      <c r="ALB98" s="0"/>
      <c r="ALC98" s="0"/>
      <c r="ALD98" s="0"/>
      <c r="ALE98" s="0"/>
      <c r="ALF98" s="0"/>
      <c r="ALG98" s="0"/>
      <c r="ALH98" s="0"/>
      <c r="ALI98" s="0"/>
      <c r="ALJ98" s="0"/>
      <c r="ALK98" s="0"/>
      <c r="ALL98" s="0"/>
      <c r="ALM98" s="0"/>
      <c r="ALN98" s="0"/>
      <c r="ALO98" s="0"/>
      <c r="ALP98" s="0"/>
      <c r="ALQ98" s="0"/>
      <c r="ALR98" s="0"/>
      <c r="ALS98" s="0"/>
      <c r="ALT98" s="0"/>
      <c r="ALU98" s="0"/>
      <c r="ALV98" s="0"/>
      <c r="ALW98" s="0"/>
      <c r="ALX98" s="0"/>
      <c r="ALY98" s="0"/>
      <c r="ALZ98" s="0"/>
      <c r="AMA98" s="0"/>
      <c r="AMB98" s="0"/>
      <c r="AMC98" s="0"/>
      <c r="AMD98" s="0"/>
      <c r="AME98" s="0"/>
      <c r="AMF98" s="0"/>
      <c r="AMG98" s="0"/>
      <c r="AMH98" s="0"/>
      <c r="AMI98" s="0"/>
      <c r="AMJ98" s="0"/>
    </row>
    <row r="99" s="14" customFormat="true" ht="12.8" hidden="false" customHeight="false" outlineLevel="0" collapsed="false">
      <c r="A99" s="19" t="n">
        <v>14</v>
      </c>
      <c r="B99" s="6" t="n">
        <v>2</v>
      </c>
      <c r="C99" s="7" t="b">
        <v>0</v>
      </c>
      <c r="D99" s="7" t="b">
        <v>0</v>
      </c>
      <c r="E99" s="7" t="b">
        <v>0</v>
      </c>
      <c r="F99" s="6" t="n">
        <v>11</v>
      </c>
      <c r="G99" s="14" t="n">
        <v>3</v>
      </c>
      <c r="H99" s="16" t="b">
        <v>0</v>
      </c>
      <c r="I99" s="7" t="b">
        <v>0</v>
      </c>
      <c r="J99" s="7"/>
      <c r="K99" s="7" t="b">
        <v>0</v>
      </c>
      <c r="L99" s="6" t="n">
        <v>67</v>
      </c>
      <c r="M99" s="6" t="n">
        <v>24.2</v>
      </c>
      <c r="N99" s="6" t="n">
        <v>1</v>
      </c>
      <c r="O99" s="7" t="b">
        <v>0</v>
      </c>
      <c r="P99" s="7" t="b">
        <v>0</v>
      </c>
      <c r="Q99" s="7" t="b">
        <v>0</v>
      </c>
      <c r="R99" s="7" t="b">
        <v>0</v>
      </c>
      <c r="S99" s="7" t="b">
        <v>0</v>
      </c>
      <c r="T99" s="7" t="b">
        <v>0</v>
      </c>
      <c r="U99" s="7" t="b">
        <v>0</v>
      </c>
      <c r="V99" s="6" t="n">
        <v>1</v>
      </c>
      <c r="W99" s="17"/>
      <c r="X99" s="6" t="n">
        <v>0.36</v>
      </c>
      <c r="Y99" s="6" t="n">
        <v>8.49</v>
      </c>
      <c r="Z99" s="6" t="n">
        <f aca="false">(Y99*7.5006157584566)/X99</f>
        <v>176.889521636935</v>
      </c>
      <c r="AA99" s="6" t="n">
        <v>21</v>
      </c>
      <c r="AB99" s="6" t="n">
        <v>969</v>
      </c>
      <c r="AC99" s="6" t="n">
        <v>8.43</v>
      </c>
      <c r="AD99" s="6" t="n">
        <v>37.5</v>
      </c>
      <c r="AE99" s="7" t="b">
        <v>0</v>
      </c>
      <c r="AF99" s="7" t="b">
        <v>0</v>
      </c>
      <c r="AG99" s="7" t="b">
        <v>0</v>
      </c>
      <c r="AH99" s="7" t="b">
        <v>0</v>
      </c>
      <c r="AI99" s="7" t="b">
        <v>0</v>
      </c>
      <c r="AJ99" s="7" t="b">
        <v>1</v>
      </c>
      <c r="AKX99" s="0"/>
      <c r="AKY99" s="0"/>
      <c r="AKZ99" s="0"/>
      <c r="ALA99" s="0"/>
      <c r="ALB99" s="0"/>
      <c r="ALC99" s="0"/>
      <c r="ALD99" s="0"/>
      <c r="ALE99" s="0"/>
      <c r="ALF99" s="0"/>
      <c r="ALG99" s="0"/>
      <c r="ALH99" s="0"/>
      <c r="ALI99" s="0"/>
      <c r="ALJ99" s="0"/>
      <c r="ALK99" s="0"/>
      <c r="ALL99" s="0"/>
      <c r="ALM99" s="0"/>
      <c r="ALN99" s="0"/>
      <c r="ALO99" s="0"/>
      <c r="ALP99" s="0"/>
      <c r="ALQ99" s="0"/>
      <c r="ALR99" s="0"/>
      <c r="ALS99" s="0"/>
      <c r="ALT99" s="0"/>
      <c r="ALU99" s="0"/>
      <c r="ALV99" s="0"/>
      <c r="ALW99" s="0"/>
      <c r="ALX99" s="0"/>
      <c r="ALY99" s="0"/>
      <c r="ALZ99" s="0"/>
      <c r="AMA99" s="0"/>
      <c r="AMB99" s="0"/>
      <c r="AMC99" s="0"/>
      <c r="AMD99" s="0"/>
      <c r="AME99" s="0"/>
      <c r="AMF99" s="0"/>
      <c r="AMG99" s="0"/>
      <c r="AMH99" s="0"/>
      <c r="AMI99" s="0"/>
      <c r="AMJ99" s="0"/>
    </row>
    <row r="100" s="14" customFormat="true" ht="12.8" hidden="false" customHeight="false" outlineLevel="0" collapsed="false">
      <c r="A100" s="19" t="n">
        <v>15</v>
      </c>
      <c r="B100" s="6" t="n">
        <v>2</v>
      </c>
      <c r="C100" s="7" t="b">
        <v>0</v>
      </c>
      <c r="D100" s="7" t="b">
        <v>0</v>
      </c>
      <c r="E100" s="7" t="b">
        <v>0</v>
      </c>
      <c r="F100" s="6" t="n">
        <v>5</v>
      </c>
      <c r="G100" s="14" t="n">
        <v>3</v>
      </c>
      <c r="H100" s="16" t="b">
        <v>0</v>
      </c>
      <c r="I100" s="7"/>
      <c r="J100" s="7" t="b">
        <v>0</v>
      </c>
      <c r="K100" s="7" t="b">
        <v>0</v>
      </c>
      <c r="L100" s="6" t="n">
        <v>38</v>
      </c>
      <c r="M100" s="6" t="n">
        <v>31.4</v>
      </c>
      <c r="N100" s="6" t="n">
        <v>0</v>
      </c>
      <c r="O100" s="7" t="b">
        <v>0</v>
      </c>
      <c r="P100" s="7" t="b">
        <v>0</v>
      </c>
      <c r="Q100" s="7" t="b">
        <v>0</v>
      </c>
      <c r="R100" s="7" t="b">
        <v>0</v>
      </c>
      <c r="S100" s="7" t="b">
        <v>0</v>
      </c>
      <c r="T100" s="7" t="b">
        <v>0</v>
      </c>
      <c r="U100" s="7" t="b">
        <v>0</v>
      </c>
      <c r="V100" s="6" t="n">
        <v>0</v>
      </c>
      <c r="W100" s="17"/>
      <c r="X100" s="6" t="n">
        <v>0.21</v>
      </c>
      <c r="Y100" s="6" t="n">
        <v>9.29</v>
      </c>
      <c r="Z100" s="6" t="n">
        <f aca="false">(Y100*7.5006157584566)/X100</f>
        <v>331.812954266961</v>
      </c>
      <c r="AA100" s="6" t="n">
        <v>110</v>
      </c>
      <c r="AB100" s="6" t="n">
        <v>1361</v>
      </c>
      <c r="AC100" s="6" t="n">
        <v>0.7</v>
      </c>
      <c r="AD100" s="6" t="n">
        <v>37</v>
      </c>
      <c r="AE100" s="7" t="b">
        <v>0</v>
      </c>
      <c r="AF100" s="7" t="b">
        <v>0</v>
      </c>
      <c r="AG100" s="7" t="b">
        <v>0</v>
      </c>
      <c r="AH100" s="7" t="b">
        <v>0</v>
      </c>
      <c r="AI100" s="7" t="b">
        <v>0</v>
      </c>
      <c r="AJ100" s="7" t="b">
        <v>1</v>
      </c>
      <c r="AKX100" s="0"/>
      <c r="AKY100" s="0"/>
      <c r="AKZ100" s="0"/>
      <c r="ALA100" s="0"/>
      <c r="ALB100" s="0"/>
      <c r="ALC100" s="0"/>
      <c r="ALD100" s="0"/>
      <c r="ALE100" s="0"/>
      <c r="ALF100" s="0"/>
      <c r="ALG100" s="0"/>
      <c r="ALH100" s="0"/>
      <c r="ALI100" s="0"/>
      <c r="ALJ100" s="0"/>
      <c r="ALK100" s="0"/>
      <c r="ALL100" s="0"/>
      <c r="ALM100" s="0"/>
      <c r="ALN100" s="0"/>
      <c r="ALO100" s="0"/>
      <c r="ALP100" s="0"/>
      <c r="ALQ100" s="0"/>
      <c r="ALR100" s="0"/>
      <c r="ALS100" s="0"/>
      <c r="ALT100" s="0"/>
      <c r="ALU100" s="0"/>
      <c r="ALV100" s="0"/>
      <c r="ALW100" s="0"/>
      <c r="ALX100" s="0"/>
      <c r="ALY100" s="0"/>
      <c r="ALZ100" s="0"/>
      <c r="AMA100" s="0"/>
      <c r="AMB100" s="0"/>
      <c r="AMC100" s="0"/>
      <c r="AMD100" s="0"/>
      <c r="AME100" s="0"/>
      <c r="AMF100" s="0"/>
      <c r="AMG100" s="0"/>
      <c r="AMH100" s="0"/>
      <c r="AMI100" s="0"/>
      <c r="AMJ100" s="0"/>
    </row>
    <row r="101" s="14" customFormat="true" ht="12.8" hidden="false" customHeight="false" outlineLevel="0" collapsed="false">
      <c r="A101" s="19" t="n">
        <v>16</v>
      </c>
      <c r="B101" s="6" t="n">
        <v>2</v>
      </c>
      <c r="C101" s="7" t="b">
        <v>0</v>
      </c>
      <c r="D101" s="7" t="b">
        <v>0</v>
      </c>
      <c r="E101" s="7" t="b">
        <v>0</v>
      </c>
      <c r="F101" s="6" t="n">
        <v>20</v>
      </c>
      <c r="G101" s="14" t="n">
        <v>9</v>
      </c>
      <c r="H101" s="16" t="b">
        <v>1</v>
      </c>
      <c r="I101" s="7"/>
      <c r="J101" s="7" t="b">
        <v>0</v>
      </c>
      <c r="K101" s="7" t="b">
        <v>0</v>
      </c>
      <c r="L101" s="6" t="n">
        <v>61</v>
      </c>
      <c r="M101" s="6" t="n">
        <v>24.8</v>
      </c>
      <c r="N101" s="6" t="n">
        <v>0</v>
      </c>
      <c r="O101" s="7" t="b">
        <v>1</v>
      </c>
      <c r="P101" s="7" t="b">
        <v>1</v>
      </c>
      <c r="Q101" s="7" t="b">
        <v>0</v>
      </c>
      <c r="R101" s="7" t="b">
        <v>0</v>
      </c>
      <c r="S101" s="7" t="b">
        <v>0</v>
      </c>
      <c r="T101" s="7" t="b">
        <v>0</v>
      </c>
      <c r="U101" s="7" t="b">
        <v>0</v>
      </c>
      <c r="V101" s="6" t="n">
        <v>1</v>
      </c>
      <c r="W101" s="17" t="n">
        <v>10</v>
      </c>
      <c r="X101" s="6" t="n">
        <v>0.28</v>
      </c>
      <c r="Y101" s="6" t="n">
        <v>8.2</v>
      </c>
      <c r="Z101" s="6" t="n">
        <f aca="false">(Y101*7.5006157584566)/X101</f>
        <v>219.660890069086</v>
      </c>
      <c r="AA101" s="6" t="n">
        <v>154</v>
      </c>
      <c r="AB101" s="6" t="n">
        <v>1146</v>
      </c>
      <c r="AC101" s="6" t="n">
        <v>2.71</v>
      </c>
      <c r="AD101" s="6" t="n">
        <v>38.9</v>
      </c>
      <c r="AE101" s="7" t="b">
        <v>0</v>
      </c>
      <c r="AF101" s="7" t="b">
        <v>1</v>
      </c>
      <c r="AG101" s="7" t="b">
        <v>0</v>
      </c>
      <c r="AH101" s="7" t="b">
        <v>0</v>
      </c>
      <c r="AI101" s="7" t="b">
        <v>1</v>
      </c>
      <c r="AJ101" s="7" t="b">
        <v>1</v>
      </c>
      <c r="AKX101" s="0"/>
      <c r="AKY101" s="0"/>
      <c r="AKZ101" s="0"/>
      <c r="ALA101" s="0"/>
      <c r="ALB101" s="0"/>
      <c r="ALC101" s="0"/>
      <c r="ALD101" s="0"/>
      <c r="ALE101" s="0"/>
      <c r="ALF101" s="0"/>
      <c r="ALG101" s="0"/>
      <c r="ALH101" s="0"/>
      <c r="ALI101" s="0"/>
      <c r="ALJ101" s="0"/>
      <c r="ALK101" s="0"/>
      <c r="ALL101" s="0"/>
      <c r="ALM101" s="0"/>
      <c r="ALN101" s="0"/>
      <c r="ALO101" s="0"/>
      <c r="ALP101" s="0"/>
      <c r="ALQ101" s="0"/>
      <c r="ALR101" s="0"/>
      <c r="ALS101" s="0"/>
      <c r="ALT101" s="0"/>
      <c r="ALU101" s="0"/>
      <c r="ALV101" s="0"/>
      <c r="ALW101" s="0"/>
      <c r="ALX101" s="0"/>
      <c r="ALY101" s="0"/>
      <c r="ALZ101" s="0"/>
      <c r="AMA101" s="0"/>
      <c r="AMB101" s="0"/>
      <c r="AMC101" s="0"/>
      <c r="AMD101" s="0"/>
      <c r="AME101" s="0"/>
      <c r="AMF101" s="0"/>
      <c r="AMG101" s="0"/>
      <c r="AMH101" s="0"/>
      <c r="AMI101" s="0"/>
      <c r="AMJ101" s="0"/>
    </row>
    <row r="102" s="14" customFormat="true" ht="12.8" hidden="false" customHeight="false" outlineLevel="0" collapsed="false">
      <c r="A102" s="19" t="n">
        <v>18</v>
      </c>
      <c r="B102" s="6" t="n">
        <v>2</v>
      </c>
      <c r="C102" s="7" t="b">
        <v>0</v>
      </c>
      <c r="D102" s="7" t="b">
        <v>0</v>
      </c>
      <c r="E102" s="7" t="b">
        <v>0</v>
      </c>
      <c r="F102" s="6" t="n">
        <v>7</v>
      </c>
      <c r="G102" s="14" t="n">
        <v>2</v>
      </c>
      <c r="H102" s="16" t="b">
        <v>0</v>
      </c>
      <c r="I102" s="7"/>
      <c r="J102" s="7" t="b">
        <v>0</v>
      </c>
      <c r="K102" s="7" t="b">
        <v>0</v>
      </c>
      <c r="L102" s="6" t="n">
        <v>32</v>
      </c>
      <c r="M102" s="6" t="n">
        <v>27.8</v>
      </c>
      <c r="N102" s="6" t="n">
        <v>0</v>
      </c>
      <c r="O102" s="7" t="b">
        <v>0</v>
      </c>
      <c r="P102" s="7" t="b">
        <v>0</v>
      </c>
      <c r="Q102" s="7" t="b">
        <v>0</v>
      </c>
      <c r="R102" s="7" t="b">
        <v>0</v>
      </c>
      <c r="S102" s="7" t="b">
        <v>0</v>
      </c>
      <c r="T102" s="7" t="b">
        <v>0</v>
      </c>
      <c r="U102" s="7" t="b">
        <v>0</v>
      </c>
      <c r="V102" s="6" t="n">
        <v>0</v>
      </c>
      <c r="W102" s="17"/>
      <c r="X102" s="6" t="n">
        <v>0.3</v>
      </c>
      <c r="Y102" s="6" t="n">
        <v>8.13</v>
      </c>
      <c r="Z102" s="6" t="n">
        <f aca="false">(Y102*7.5006157584566)/X102</f>
        <v>203.266687054174</v>
      </c>
      <c r="AA102" s="6" t="n">
        <v>71</v>
      </c>
      <c r="AB102" s="6" t="n">
        <v>535</v>
      </c>
      <c r="AC102" s="6" t="n">
        <v>0.64</v>
      </c>
      <c r="AD102" s="6" t="n">
        <v>36.9</v>
      </c>
      <c r="AE102" s="7" t="b">
        <v>0</v>
      </c>
      <c r="AF102" s="7" t="b">
        <v>0</v>
      </c>
      <c r="AG102" s="7" t="b">
        <v>0</v>
      </c>
      <c r="AH102" s="7" t="b">
        <v>0</v>
      </c>
      <c r="AI102" s="7" t="b">
        <v>0</v>
      </c>
      <c r="AJ102" s="7" t="b">
        <v>1</v>
      </c>
      <c r="AKX102" s="0"/>
      <c r="AKY102" s="0"/>
      <c r="AKZ102" s="0"/>
      <c r="ALA102" s="0"/>
      <c r="ALB102" s="0"/>
      <c r="ALC102" s="0"/>
      <c r="ALD102" s="0"/>
      <c r="ALE102" s="0"/>
      <c r="ALF102" s="0"/>
      <c r="ALG102" s="0"/>
      <c r="ALH102" s="0"/>
      <c r="ALI102" s="0"/>
      <c r="ALJ102" s="0"/>
      <c r="ALK102" s="0"/>
      <c r="ALL102" s="0"/>
      <c r="ALM102" s="0"/>
      <c r="ALN102" s="0"/>
      <c r="ALO102" s="0"/>
      <c r="ALP102" s="0"/>
      <c r="ALQ102" s="0"/>
      <c r="ALR102" s="0"/>
      <c r="ALS102" s="0"/>
      <c r="ALT102" s="0"/>
      <c r="ALU102" s="0"/>
      <c r="ALV102" s="0"/>
      <c r="ALW102" s="0"/>
      <c r="ALX102" s="0"/>
      <c r="ALY102" s="0"/>
      <c r="ALZ102" s="0"/>
      <c r="AMA102" s="0"/>
      <c r="AMB102" s="0"/>
      <c r="AMC102" s="0"/>
      <c r="AMD102" s="0"/>
      <c r="AME102" s="0"/>
      <c r="AMF102" s="0"/>
      <c r="AMG102" s="0"/>
      <c r="AMH102" s="0"/>
      <c r="AMI102" s="0"/>
      <c r="AMJ102" s="0"/>
    </row>
    <row r="103" s="14" customFormat="true" ht="12.8" hidden="false" customHeight="false" outlineLevel="0" collapsed="false">
      <c r="A103" s="19" t="n">
        <v>20</v>
      </c>
      <c r="B103" s="6" t="n">
        <v>2</v>
      </c>
      <c r="C103" s="7" t="b">
        <v>0</v>
      </c>
      <c r="D103" s="7" t="b">
        <v>0</v>
      </c>
      <c r="E103" s="7" t="b">
        <v>0</v>
      </c>
      <c r="F103" s="6" t="n">
        <v>47</v>
      </c>
      <c r="G103" s="14" t="n">
        <v>26</v>
      </c>
      <c r="H103" s="16" t="b">
        <v>1</v>
      </c>
      <c r="I103" s="7" t="b">
        <v>0</v>
      </c>
      <c r="J103" s="7" t="b">
        <v>1</v>
      </c>
      <c r="K103" s="7" t="b">
        <v>0</v>
      </c>
      <c r="L103" s="6" t="n">
        <v>57</v>
      </c>
      <c r="M103" s="6" t="n">
        <v>29.3</v>
      </c>
      <c r="N103" s="6" t="n">
        <v>0</v>
      </c>
      <c r="O103" s="7" t="b">
        <v>0</v>
      </c>
      <c r="P103" s="7" t="b">
        <v>0</v>
      </c>
      <c r="Q103" s="7" t="b">
        <v>0</v>
      </c>
      <c r="R103" s="7" t="b">
        <v>0</v>
      </c>
      <c r="S103" s="7" t="b">
        <v>1</v>
      </c>
      <c r="T103" s="7" t="b">
        <v>0</v>
      </c>
      <c r="U103" s="7" t="b">
        <v>0</v>
      </c>
      <c r="V103" s="6" t="n">
        <v>1</v>
      </c>
      <c r="W103" s="17" t="n">
        <v>7</v>
      </c>
      <c r="X103" s="6" t="n">
        <v>0.4</v>
      </c>
      <c r="Y103" s="6" t="n">
        <v>7.86</v>
      </c>
      <c r="Z103" s="6" t="n">
        <f aca="false">(Y103*7.5006157584566)/X103</f>
        <v>147.387099653672</v>
      </c>
      <c r="AA103" s="6" t="n">
        <v>196</v>
      </c>
      <c r="AB103" s="6" t="n">
        <v>988</v>
      </c>
      <c r="AC103" s="6" t="n">
        <v>7.94</v>
      </c>
      <c r="AD103" s="6" t="n">
        <v>38.6</v>
      </c>
      <c r="AE103" s="7" t="b">
        <v>0</v>
      </c>
      <c r="AF103" s="7" t="b">
        <v>0</v>
      </c>
      <c r="AG103" s="7" t="b">
        <v>0</v>
      </c>
      <c r="AH103" s="7" t="b">
        <v>0</v>
      </c>
      <c r="AI103" s="7" t="b">
        <v>0</v>
      </c>
      <c r="AJ103" s="7" t="b">
        <v>1</v>
      </c>
      <c r="AKX103" s="0"/>
      <c r="AKY103" s="0"/>
      <c r="AKZ103" s="0"/>
      <c r="ALA103" s="0"/>
      <c r="ALB103" s="0"/>
      <c r="ALC103" s="0"/>
      <c r="ALD103" s="0"/>
      <c r="ALE103" s="0"/>
      <c r="ALF103" s="0"/>
      <c r="ALG103" s="0"/>
      <c r="ALH103" s="0"/>
      <c r="ALI103" s="0"/>
      <c r="ALJ103" s="0"/>
      <c r="ALK103" s="0"/>
      <c r="ALL103" s="0"/>
      <c r="ALM103" s="0"/>
      <c r="ALN103" s="0"/>
      <c r="ALO103" s="0"/>
      <c r="ALP103" s="0"/>
      <c r="ALQ103" s="0"/>
      <c r="ALR103" s="0"/>
      <c r="ALS103" s="0"/>
      <c r="ALT103" s="0"/>
      <c r="ALU103" s="0"/>
      <c r="ALV103" s="0"/>
      <c r="ALW103" s="0"/>
      <c r="ALX103" s="0"/>
      <c r="ALY103" s="0"/>
      <c r="ALZ103" s="0"/>
      <c r="AMA103" s="0"/>
      <c r="AMB103" s="0"/>
      <c r="AMC103" s="0"/>
      <c r="AMD103" s="0"/>
      <c r="AME103" s="0"/>
      <c r="AMF103" s="0"/>
      <c r="AMG103" s="0"/>
      <c r="AMH103" s="0"/>
      <c r="AMI103" s="0"/>
      <c r="AMJ103" s="0"/>
    </row>
    <row r="104" s="14" customFormat="true" ht="12.8" hidden="false" customHeight="false" outlineLevel="0" collapsed="false">
      <c r="A104" s="19" t="n">
        <v>22</v>
      </c>
      <c r="B104" s="6" t="n">
        <v>2</v>
      </c>
      <c r="C104" s="7" t="b">
        <v>0</v>
      </c>
      <c r="D104" s="7" t="b">
        <v>0</v>
      </c>
      <c r="E104" s="7" t="b">
        <v>0</v>
      </c>
      <c r="F104" s="6" t="n">
        <v>15</v>
      </c>
      <c r="G104" s="14" t="n">
        <v>8</v>
      </c>
      <c r="H104" s="16" t="b">
        <v>0</v>
      </c>
      <c r="I104" s="7" t="b">
        <v>1</v>
      </c>
      <c r="J104" s="7" t="b">
        <v>0</v>
      </c>
      <c r="K104" s="7" t="b">
        <v>0</v>
      </c>
      <c r="L104" s="6" t="n">
        <v>41</v>
      </c>
      <c r="M104" s="6" t="n">
        <v>21</v>
      </c>
      <c r="N104" s="6" t="n">
        <v>0</v>
      </c>
      <c r="O104" s="7" t="b">
        <v>0</v>
      </c>
      <c r="P104" s="7" t="b">
        <v>0</v>
      </c>
      <c r="Q104" s="7" t="b">
        <v>0</v>
      </c>
      <c r="R104" s="7" t="b">
        <v>0</v>
      </c>
      <c r="S104" s="7" t="b">
        <v>0</v>
      </c>
      <c r="T104" s="7" t="b">
        <v>0</v>
      </c>
      <c r="U104" s="7" t="b">
        <v>0</v>
      </c>
      <c r="V104" s="6" t="n">
        <v>0</v>
      </c>
      <c r="W104" s="17" t="n">
        <v>8</v>
      </c>
      <c r="X104" s="6" t="n">
        <v>0.4</v>
      </c>
      <c r="Y104" s="6" t="n">
        <v>9.48</v>
      </c>
      <c r="Z104" s="6" t="n">
        <f aca="false">(Y104*7.5006157584566)/X104</f>
        <v>177.764593475421</v>
      </c>
      <c r="AA104" s="6" t="n">
        <v>59</v>
      </c>
      <c r="AB104" s="6" t="n">
        <v>5366</v>
      </c>
      <c r="AC104" s="6" t="n">
        <v>48.86</v>
      </c>
      <c r="AD104" s="6" t="n">
        <v>38.1</v>
      </c>
      <c r="AE104" s="7" t="b">
        <v>0</v>
      </c>
      <c r="AF104" s="7" t="b">
        <v>0</v>
      </c>
      <c r="AG104" s="7" t="b">
        <v>0</v>
      </c>
      <c r="AH104" s="7" t="b">
        <v>0</v>
      </c>
      <c r="AI104" s="7" t="b">
        <v>1</v>
      </c>
      <c r="AJ104" s="7" t="b">
        <v>1</v>
      </c>
      <c r="AKX104" s="0"/>
      <c r="AKY104" s="0"/>
      <c r="AKZ104" s="0"/>
      <c r="ALA104" s="0"/>
      <c r="ALB104" s="0"/>
      <c r="ALC104" s="0"/>
      <c r="ALD104" s="0"/>
      <c r="ALE104" s="0"/>
      <c r="ALF104" s="0"/>
      <c r="ALG104" s="0"/>
      <c r="ALH104" s="0"/>
      <c r="ALI104" s="0"/>
      <c r="ALJ104" s="0"/>
      <c r="ALK104" s="0"/>
      <c r="ALL104" s="0"/>
      <c r="ALM104" s="0"/>
      <c r="ALN104" s="0"/>
      <c r="ALO104" s="0"/>
      <c r="ALP104" s="0"/>
      <c r="ALQ104" s="0"/>
      <c r="ALR104" s="0"/>
      <c r="ALS104" s="0"/>
      <c r="ALT104" s="0"/>
      <c r="ALU104" s="0"/>
      <c r="ALV104" s="0"/>
      <c r="ALW104" s="0"/>
      <c r="ALX104" s="0"/>
      <c r="ALY104" s="0"/>
      <c r="ALZ104" s="0"/>
      <c r="AMA104" s="0"/>
      <c r="AMB104" s="0"/>
      <c r="AMC104" s="0"/>
      <c r="AMD104" s="0"/>
      <c r="AME104" s="0"/>
      <c r="AMF104" s="0"/>
      <c r="AMG104" s="0"/>
      <c r="AMH104" s="0"/>
      <c r="AMI104" s="0"/>
      <c r="AMJ104" s="0"/>
    </row>
    <row r="105" s="14" customFormat="true" ht="12.8" hidden="false" customHeight="false" outlineLevel="0" collapsed="false">
      <c r="A105" s="19" t="n">
        <v>30</v>
      </c>
      <c r="B105" s="6" t="n">
        <v>2</v>
      </c>
      <c r="C105" s="7" t="b">
        <v>0</v>
      </c>
      <c r="D105" s="7" t="b">
        <v>0</v>
      </c>
      <c r="E105" s="7" t="b">
        <v>0</v>
      </c>
      <c r="F105" s="6" t="n">
        <v>24</v>
      </c>
      <c r="G105" s="14" t="n">
        <v>13</v>
      </c>
      <c r="H105" s="16" t="b">
        <v>1</v>
      </c>
      <c r="I105" s="7" t="b">
        <v>0</v>
      </c>
      <c r="J105" s="7" t="b">
        <v>0</v>
      </c>
      <c r="K105" s="7" t="b">
        <v>0</v>
      </c>
      <c r="L105" s="6" t="n">
        <v>47</v>
      </c>
      <c r="M105" s="6" t="n">
        <v>24</v>
      </c>
      <c r="N105" s="6" t="n">
        <v>0</v>
      </c>
      <c r="O105" s="7" t="b">
        <v>0</v>
      </c>
      <c r="P105" s="7" t="b">
        <v>0</v>
      </c>
      <c r="Q105" s="7" t="b">
        <v>0</v>
      </c>
      <c r="R105" s="7" t="b">
        <v>0</v>
      </c>
      <c r="S105" s="7" t="b">
        <v>0</v>
      </c>
      <c r="T105" s="7" t="b">
        <v>0</v>
      </c>
      <c r="U105" s="7" t="b">
        <v>0</v>
      </c>
      <c r="V105" s="6" t="n">
        <v>0</v>
      </c>
      <c r="W105" s="17"/>
      <c r="X105" s="6" t="n">
        <v>0.4</v>
      </c>
      <c r="Y105" s="6" t="n">
        <v>9.56</v>
      </c>
      <c r="Z105" s="6" t="n">
        <f aca="false">(Y105*7.5006157584566)/X105</f>
        <v>179.264716627113</v>
      </c>
      <c r="AA105" s="6" t="n">
        <v>140</v>
      </c>
      <c r="AB105" s="6" t="n">
        <v>3159</v>
      </c>
      <c r="AC105" s="6" t="n">
        <v>8</v>
      </c>
      <c r="AD105" s="6" t="n">
        <v>36.7</v>
      </c>
      <c r="AE105" s="7" t="b">
        <v>0</v>
      </c>
      <c r="AF105" s="7" t="b">
        <v>0</v>
      </c>
      <c r="AG105" s="7" t="b">
        <v>0</v>
      </c>
      <c r="AH105" s="7" t="b">
        <v>0</v>
      </c>
      <c r="AI105" s="7" t="b">
        <v>0</v>
      </c>
      <c r="AJ105" s="7" t="b">
        <v>1</v>
      </c>
      <c r="AKX105" s="0"/>
      <c r="AKY105" s="0"/>
      <c r="AKZ105" s="0"/>
      <c r="ALA105" s="0"/>
      <c r="ALB105" s="0"/>
      <c r="ALC105" s="0"/>
      <c r="ALD105" s="0"/>
      <c r="ALE105" s="0"/>
      <c r="ALF105" s="0"/>
      <c r="ALG105" s="0"/>
      <c r="ALH105" s="0"/>
      <c r="ALI105" s="0"/>
      <c r="ALJ105" s="0"/>
      <c r="ALK105" s="0"/>
      <c r="ALL105" s="0"/>
      <c r="ALM105" s="0"/>
      <c r="ALN105" s="0"/>
      <c r="ALO105" s="0"/>
      <c r="ALP105" s="0"/>
      <c r="ALQ105" s="0"/>
      <c r="ALR105" s="0"/>
      <c r="ALS105" s="0"/>
      <c r="ALT105" s="0"/>
      <c r="ALU105" s="0"/>
      <c r="ALV105" s="0"/>
      <c r="ALW105" s="0"/>
      <c r="ALX105" s="0"/>
      <c r="ALY105" s="0"/>
      <c r="ALZ105" s="0"/>
      <c r="AMA105" s="0"/>
      <c r="AMB105" s="0"/>
      <c r="AMC105" s="0"/>
      <c r="AMD105" s="0"/>
      <c r="AME105" s="0"/>
      <c r="AMF105" s="0"/>
      <c r="AMG105" s="0"/>
      <c r="AMH105" s="0"/>
      <c r="AMI105" s="0"/>
      <c r="AMJ105" s="0"/>
    </row>
    <row r="106" s="14" customFormat="true" ht="12.8" hidden="false" customHeight="false" outlineLevel="0" collapsed="false">
      <c r="A106" s="19" t="n">
        <v>31</v>
      </c>
      <c r="B106" s="6" t="n">
        <v>2</v>
      </c>
      <c r="C106" s="7" t="b">
        <v>0</v>
      </c>
      <c r="D106" s="7" t="b">
        <v>0</v>
      </c>
      <c r="E106" s="7" t="b">
        <v>0</v>
      </c>
      <c r="F106" s="6" t="n">
        <v>8</v>
      </c>
      <c r="G106" s="14" t="n">
        <v>3</v>
      </c>
      <c r="H106" s="16" t="b">
        <v>0</v>
      </c>
      <c r="I106" s="7"/>
      <c r="J106" s="7" t="b">
        <v>0</v>
      </c>
      <c r="K106" s="7" t="b">
        <v>0</v>
      </c>
      <c r="L106" s="6" t="n">
        <v>52</v>
      </c>
      <c r="M106" s="6" t="n">
        <v>22.2</v>
      </c>
      <c r="N106" s="6" t="n">
        <v>1</v>
      </c>
      <c r="O106" s="7" t="b">
        <v>0</v>
      </c>
      <c r="P106" s="7" t="b">
        <v>1</v>
      </c>
      <c r="Q106" s="7" t="b">
        <v>0</v>
      </c>
      <c r="R106" s="7" t="b">
        <v>0</v>
      </c>
      <c r="S106" s="7" t="b">
        <v>0</v>
      </c>
      <c r="T106" s="7" t="b">
        <v>0</v>
      </c>
      <c r="U106" s="7" t="b">
        <v>0</v>
      </c>
      <c r="V106" s="6" t="n">
        <v>0</v>
      </c>
      <c r="W106" s="17"/>
      <c r="X106" s="6" t="n">
        <v>0.28</v>
      </c>
      <c r="Y106" s="6" t="n">
        <v>9.61</v>
      </c>
      <c r="Z106" s="6" t="n">
        <f aca="false">(Y106*7.5006157584566)/X106</f>
        <v>257.4318479956</v>
      </c>
      <c r="AA106" s="6" t="n">
        <v>189</v>
      </c>
      <c r="AB106" s="6" t="n">
        <v>1663</v>
      </c>
      <c r="AC106" s="6" t="n">
        <v>0.71</v>
      </c>
      <c r="AD106" s="6" t="n">
        <v>38.2</v>
      </c>
      <c r="AE106" s="7" t="b">
        <v>0</v>
      </c>
      <c r="AF106" s="7" t="b">
        <v>0</v>
      </c>
      <c r="AG106" s="7" t="b">
        <v>0</v>
      </c>
      <c r="AH106" s="7" t="b">
        <v>0</v>
      </c>
      <c r="AI106" s="7" t="b">
        <v>0</v>
      </c>
      <c r="AJ106" s="7" t="b">
        <v>1</v>
      </c>
      <c r="AKX106" s="0"/>
      <c r="AKY106" s="0"/>
      <c r="AKZ106" s="0"/>
      <c r="ALA106" s="0"/>
      <c r="ALB106" s="0"/>
      <c r="ALC106" s="0"/>
      <c r="ALD106" s="0"/>
      <c r="ALE106" s="0"/>
      <c r="ALF106" s="0"/>
      <c r="ALG106" s="0"/>
      <c r="ALH106" s="0"/>
      <c r="ALI106" s="0"/>
      <c r="ALJ106" s="0"/>
      <c r="ALK106" s="0"/>
      <c r="ALL106" s="0"/>
      <c r="ALM106" s="0"/>
      <c r="ALN106" s="0"/>
      <c r="ALO106" s="0"/>
      <c r="ALP106" s="0"/>
      <c r="ALQ106" s="0"/>
      <c r="ALR106" s="0"/>
      <c r="ALS106" s="0"/>
      <c r="ALT106" s="0"/>
      <c r="ALU106" s="0"/>
      <c r="ALV106" s="0"/>
      <c r="ALW106" s="0"/>
      <c r="ALX106" s="0"/>
      <c r="ALY106" s="0"/>
      <c r="ALZ106" s="0"/>
      <c r="AMA106" s="0"/>
      <c r="AMB106" s="0"/>
      <c r="AMC106" s="0"/>
      <c r="AMD106" s="0"/>
      <c r="AME106" s="0"/>
      <c r="AMF106" s="0"/>
      <c r="AMG106" s="0"/>
      <c r="AMH106" s="0"/>
      <c r="AMI106" s="0"/>
      <c r="AMJ106" s="0"/>
    </row>
    <row r="107" s="14" customFormat="true" ht="12.8" hidden="false" customHeight="false" outlineLevel="0" collapsed="false">
      <c r="A107" s="19" t="n">
        <v>36</v>
      </c>
      <c r="B107" s="6" t="n">
        <v>2</v>
      </c>
      <c r="C107" s="7" t="b">
        <v>0</v>
      </c>
      <c r="D107" s="7" t="b">
        <v>0</v>
      </c>
      <c r="E107" s="7" t="b">
        <v>0</v>
      </c>
      <c r="F107" s="6" t="n">
        <v>11</v>
      </c>
      <c r="G107" s="14" t="n">
        <v>1</v>
      </c>
      <c r="H107" s="16" t="b">
        <v>0</v>
      </c>
      <c r="I107" s="7" t="b">
        <v>1</v>
      </c>
      <c r="J107" s="7" t="b">
        <v>0</v>
      </c>
      <c r="K107" s="7" t="b">
        <v>1</v>
      </c>
      <c r="L107" s="6" t="n">
        <v>66</v>
      </c>
      <c r="M107" s="6" t="n">
        <v>28.3</v>
      </c>
      <c r="N107" s="6" t="n">
        <v>4</v>
      </c>
      <c r="O107" s="7" t="b">
        <v>1</v>
      </c>
      <c r="P107" s="7" t="b">
        <v>1</v>
      </c>
      <c r="Q107" s="7" t="b">
        <v>0</v>
      </c>
      <c r="R107" s="7" t="b">
        <v>0</v>
      </c>
      <c r="S107" s="7" t="b">
        <v>0</v>
      </c>
      <c r="T107" s="7" t="b">
        <v>0</v>
      </c>
      <c r="U107" s="7" t="b">
        <v>0</v>
      </c>
      <c r="V107" s="6" t="n">
        <v>0</v>
      </c>
      <c r="W107" s="17"/>
      <c r="X107" s="6" t="n">
        <v>0.28</v>
      </c>
      <c r="Y107" s="6" t="n">
        <v>8.83</v>
      </c>
      <c r="Z107" s="6" t="n">
        <f aca="false">(Y107*7.5006157584566)/X107</f>
        <v>236.537275525613</v>
      </c>
      <c r="AA107" s="6" t="n">
        <v>164</v>
      </c>
      <c r="AB107" s="6" t="n">
        <v>281</v>
      </c>
      <c r="AC107" s="6" t="n">
        <v>1.37</v>
      </c>
      <c r="AD107" s="6" t="n">
        <v>37.4</v>
      </c>
      <c r="AE107" s="7" t="b">
        <v>0</v>
      </c>
      <c r="AF107" s="7" t="b">
        <v>0</v>
      </c>
      <c r="AG107" s="7" t="b">
        <v>0</v>
      </c>
      <c r="AH107" s="7" t="b">
        <v>0</v>
      </c>
      <c r="AI107" s="7" t="b">
        <v>0</v>
      </c>
      <c r="AJ107" s="7" t="b">
        <v>1</v>
      </c>
      <c r="AKX107" s="0"/>
      <c r="AKY107" s="0"/>
      <c r="AKZ107" s="0"/>
      <c r="ALA107" s="0"/>
      <c r="ALB107" s="0"/>
      <c r="ALC107" s="0"/>
      <c r="ALD107" s="0"/>
      <c r="ALE107" s="0"/>
      <c r="ALF107" s="0"/>
      <c r="ALG107" s="0"/>
      <c r="ALH107" s="0"/>
      <c r="ALI107" s="0"/>
      <c r="ALJ107" s="0"/>
      <c r="ALK107" s="0"/>
      <c r="ALL107" s="0"/>
      <c r="ALM107" s="0"/>
      <c r="ALN107" s="0"/>
      <c r="ALO107" s="0"/>
      <c r="ALP107" s="0"/>
      <c r="ALQ107" s="0"/>
      <c r="ALR107" s="0"/>
      <c r="ALS107" s="0"/>
      <c r="ALT107" s="0"/>
      <c r="ALU107" s="0"/>
      <c r="ALV107" s="0"/>
      <c r="ALW107" s="0"/>
      <c r="ALX107" s="0"/>
      <c r="ALY107" s="0"/>
      <c r="ALZ107" s="0"/>
      <c r="AMA107" s="0"/>
      <c r="AMB107" s="0"/>
      <c r="AMC107" s="0"/>
      <c r="AMD107" s="0"/>
      <c r="AME107" s="0"/>
      <c r="AMF107" s="0"/>
      <c r="AMG107" s="0"/>
      <c r="AMH107" s="0"/>
      <c r="AMI107" s="0"/>
      <c r="AMJ107" s="0"/>
    </row>
    <row r="108" s="14" customFormat="true" ht="12.8" hidden="false" customHeight="false" outlineLevel="0" collapsed="false">
      <c r="A108" s="19" t="n">
        <v>38</v>
      </c>
      <c r="B108" s="6" t="n">
        <v>2</v>
      </c>
      <c r="C108" s="7" t="b">
        <v>0</v>
      </c>
      <c r="D108" s="7" t="b">
        <v>0</v>
      </c>
      <c r="E108" s="7" t="b">
        <v>0</v>
      </c>
      <c r="F108" s="6" t="n">
        <v>7</v>
      </c>
      <c r="G108" s="14" t="n">
        <v>2</v>
      </c>
      <c r="H108" s="16" t="b">
        <v>0</v>
      </c>
      <c r="I108" s="7" t="b">
        <v>0</v>
      </c>
      <c r="J108" s="7" t="b">
        <v>0</v>
      </c>
      <c r="K108" s="7" t="b">
        <v>1</v>
      </c>
      <c r="L108" s="6" t="n">
        <v>61</v>
      </c>
      <c r="M108" s="6" t="n">
        <v>26.9</v>
      </c>
      <c r="N108" s="6" t="n">
        <v>0</v>
      </c>
      <c r="O108" s="7" t="b">
        <v>0</v>
      </c>
      <c r="P108" s="7" t="b">
        <v>0</v>
      </c>
      <c r="Q108" s="7" t="b">
        <v>0</v>
      </c>
      <c r="R108" s="7" t="b">
        <v>0</v>
      </c>
      <c r="S108" s="7" t="b">
        <v>0</v>
      </c>
      <c r="T108" s="7" t="b">
        <v>0</v>
      </c>
      <c r="U108" s="7" t="b">
        <v>0</v>
      </c>
      <c r="V108" s="6" t="n">
        <v>0</v>
      </c>
      <c r="W108" s="17" t="n">
        <v>6</v>
      </c>
      <c r="X108" s="6" t="n">
        <v>0.3</v>
      </c>
      <c r="Y108" s="6" t="n">
        <v>11.97</v>
      </c>
      <c r="Z108" s="6" t="n">
        <f aca="false">(Y108*7.5006157584566)/X108</f>
        <v>299.274568762418</v>
      </c>
      <c r="AA108" s="6" t="n">
        <v>108</v>
      </c>
      <c r="AB108" s="6" t="n">
        <v>820</v>
      </c>
      <c r="AC108" s="6" t="n">
        <v>3.48</v>
      </c>
      <c r="AD108" s="6" t="n">
        <v>37.2</v>
      </c>
      <c r="AE108" s="7" t="b">
        <v>0</v>
      </c>
      <c r="AF108" s="7" t="b">
        <v>0</v>
      </c>
      <c r="AG108" s="7" t="b">
        <v>0</v>
      </c>
      <c r="AH108" s="7" t="b">
        <v>0</v>
      </c>
      <c r="AI108" s="7" t="b">
        <v>1</v>
      </c>
      <c r="AJ108" s="7" t="b">
        <v>1</v>
      </c>
      <c r="AKX108" s="0"/>
      <c r="AKY108" s="0"/>
      <c r="AKZ108" s="0"/>
      <c r="ALA108" s="0"/>
      <c r="ALB108" s="0"/>
      <c r="ALC108" s="0"/>
      <c r="ALD108" s="0"/>
      <c r="ALE108" s="0"/>
      <c r="ALF108" s="0"/>
      <c r="ALG108" s="0"/>
      <c r="ALH108" s="0"/>
      <c r="ALI108" s="0"/>
      <c r="ALJ108" s="0"/>
      <c r="ALK108" s="0"/>
      <c r="ALL108" s="0"/>
      <c r="ALM108" s="0"/>
      <c r="ALN108" s="0"/>
      <c r="ALO108" s="0"/>
      <c r="ALP108" s="0"/>
      <c r="ALQ108" s="0"/>
      <c r="ALR108" s="0"/>
      <c r="ALS108" s="0"/>
      <c r="ALT108" s="0"/>
      <c r="ALU108" s="0"/>
      <c r="ALV108" s="0"/>
      <c r="ALW108" s="0"/>
      <c r="ALX108" s="0"/>
      <c r="ALY108" s="0"/>
      <c r="ALZ108" s="0"/>
      <c r="AMA108" s="0"/>
      <c r="AMB108" s="0"/>
      <c r="AMC108" s="0"/>
      <c r="AMD108" s="0"/>
      <c r="AME108" s="0"/>
      <c r="AMF108" s="0"/>
      <c r="AMG108" s="0"/>
      <c r="AMH108" s="0"/>
      <c r="AMI108" s="0"/>
      <c r="AMJ108" s="0"/>
    </row>
    <row r="109" s="14" customFormat="true" ht="12.8" hidden="false" customHeight="false" outlineLevel="0" collapsed="false">
      <c r="A109" s="19" t="n">
        <v>39</v>
      </c>
      <c r="B109" s="6" t="n">
        <v>2</v>
      </c>
      <c r="C109" s="7" t="b">
        <v>0</v>
      </c>
      <c r="D109" s="7" t="b">
        <v>0</v>
      </c>
      <c r="E109" s="7" t="b">
        <v>0</v>
      </c>
      <c r="F109" s="6" t="n">
        <v>8</v>
      </c>
      <c r="G109" s="14" t="n">
        <v>3</v>
      </c>
      <c r="H109" s="16" t="b">
        <v>0</v>
      </c>
      <c r="I109" s="7" t="b">
        <v>0</v>
      </c>
      <c r="J109" s="7" t="b">
        <v>0</v>
      </c>
      <c r="K109" s="7" t="b">
        <v>0</v>
      </c>
      <c r="L109" s="6" t="n">
        <v>68</v>
      </c>
      <c r="M109" s="6" t="n">
        <v>28</v>
      </c>
      <c r="N109" s="6" t="n">
        <v>1</v>
      </c>
      <c r="O109" s="7" t="b">
        <v>1</v>
      </c>
      <c r="P109" s="7" t="b">
        <v>1</v>
      </c>
      <c r="Q109" s="7" t="b">
        <v>0</v>
      </c>
      <c r="R109" s="7" t="b">
        <v>0</v>
      </c>
      <c r="S109" s="7" t="b">
        <v>0</v>
      </c>
      <c r="T109" s="7" t="b">
        <v>0</v>
      </c>
      <c r="U109" s="7" t="b">
        <v>0</v>
      </c>
      <c r="V109" s="6" t="n">
        <v>0</v>
      </c>
      <c r="W109" s="17" t="n">
        <v>7</v>
      </c>
      <c r="X109" s="6" t="n">
        <v>0.3</v>
      </c>
      <c r="Y109" s="6" t="n">
        <v>11.85</v>
      </c>
      <c r="Z109" s="6" t="n">
        <f aca="false">(Y109*7.5006157584566)/X109</f>
        <v>296.274322459036</v>
      </c>
      <c r="AA109" s="6" t="n">
        <v>119</v>
      </c>
      <c r="AB109" s="6" t="n">
        <v>721</v>
      </c>
      <c r="AC109" s="6" t="n">
        <v>4.18</v>
      </c>
      <c r="AD109" s="6" t="n">
        <v>37.4</v>
      </c>
      <c r="AE109" s="7" t="b">
        <v>0</v>
      </c>
      <c r="AF109" s="7" t="b">
        <v>0</v>
      </c>
      <c r="AG109" s="7" t="b">
        <v>0</v>
      </c>
      <c r="AH109" s="7" t="b">
        <v>0</v>
      </c>
      <c r="AI109" s="7" t="b">
        <v>0</v>
      </c>
      <c r="AJ109" s="7" t="b">
        <v>1</v>
      </c>
      <c r="AKX109" s="0"/>
      <c r="AKY109" s="0"/>
      <c r="AKZ109" s="0"/>
      <c r="ALA109" s="0"/>
      <c r="ALB109" s="0"/>
      <c r="ALC109" s="0"/>
      <c r="ALD109" s="0"/>
      <c r="ALE109" s="0"/>
      <c r="ALF109" s="0"/>
      <c r="ALG109" s="0"/>
      <c r="ALH109" s="0"/>
      <c r="ALI109" s="0"/>
      <c r="ALJ109" s="0"/>
      <c r="ALK109" s="0"/>
      <c r="ALL109" s="0"/>
      <c r="ALM109" s="0"/>
      <c r="ALN109" s="0"/>
      <c r="ALO109" s="0"/>
      <c r="ALP109" s="0"/>
      <c r="ALQ109" s="0"/>
      <c r="ALR109" s="0"/>
      <c r="ALS109" s="0"/>
      <c r="ALT109" s="0"/>
      <c r="ALU109" s="0"/>
      <c r="ALV109" s="0"/>
      <c r="ALW109" s="0"/>
      <c r="ALX109" s="0"/>
      <c r="ALY109" s="0"/>
      <c r="ALZ109" s="0"/>
      <c r="AMA109" s="0"/>
      <c r="AMB109" s="0"/>
      <c r="AMC109" s="0"/>
      <c r="AMD109" s="0"/>
      <c r="AME109" s="0"/>
      <c r="AMF109" s="0"/>
      <c r="AMG109" s="0"/>
      <c r="AMH109" s="0"/>
      <c r="AMI109" s="0"/>
      <c r="AMJ109" s="0"/>
    </row>
    <row r="110" s="14" customFormat="true" ht="12.8" hidden="false" customHeight="false" outlineLevel="0" collapsed="false">
      <c r="A110" s="19" t="n">
        <v>40</v>
      </c>
      <c r="B110" s="6" t="n">
        <v>2</v>
      </c>
      <c r="C110" s="7" t="b">
        <v>0</v>
      </c>
      <c r="D110" s="7" t="b">
        <v>0</v>
      </c>
      <c r="E110" s="7" t="b">
        <v>0</v>
      </c>
      <c r="F110" s="6" t="n">
        <v>7</v>
      </c>
      <c r="G110" s="14" t="n">
        <v>2</v>
      </c>
      <c r="H110" s="16" t="b">
        <v>0</v>
      </c>
      <c r="I110" s="7" t="b">
        <v>0</v>
      </c>
      <c r="J110" s="7" t="b">
        <v>0</v>
      </c>
      <c r="K110" s="7" t="b">
        <v>1</v>
      </c>
      <c r="L110" s="6" t="n">
        <v>55</v>
      </c>
      <c r="M110" s="6" t="n">
        <v>34.6</v>
      </c>
      <c r="N110" s="6" t="n">
        <v>1</v>
      </c>
      <c r="O110" s="7" t="b">
        <v>0</v>
      </c>
      <c r="P110" s="7" t="b">
        <v>0</v>
      </c>
      <c r="Q110" s="7" t="b">
        <v>0</v>
      </c>
      <c r="R110" s="7" t="b">
        <v>0</v>
      </c>
      <c r="S110" s="7" t="b">
        <v>0</v>
      </c>
      <c r="T110" s="7" t="b">
        <v>0</v>
      </c>
      <c r="U110" s="7" t="b">
        <v>0</v>
      </c>
      <c r="V110" s="6" t="n">
        <v>0</v>
      </c>
      <c r="W110" s="17" t="n">
        <v>5</v>
      </c>
      <c r="X110" s="6" t="n">
        <v>0.28</v>
      </c>
      <c r="Y110" s="6" t="n">
        <v>8.92</v>
      </c>
      <c r="Z110" s="6" t="n">
        <f aca="false">(Y110*7.5006157584566)/X110</f>
        <v>238.948187733689</v>
      </c>
      <c r="AA110" s="6" t="n">
        <v>187</v>
      </c>
      <c r="AB110" s="6" t="n">
        <v>4262</v>
      </c>
      <c r="AC110" s="6" t="n">
        <v>0.72</v>
      </c>
      <c r="AD110" s="6" t="n">
        <v>37</v>
      </c>
      <c r="AE110" s="7" t="b">
        <v>0</v>
      </c>
      <c r="AF110" s="7" t="b">
        <v>0</v>
      </c>
      <c r="AG110" s="7" t="b">
        <v>0</v>
      </c>
      <c r="AH110" s="7" t="b">
        <v>0</v>
      </c>
      <c r="AI110" s="7" t="b">
        <v>1</v>
      </c>
      <c r="AJ110" s="7" t="b">
        <v>1</v>
      </c>
      <c r="AKX110" s="0"/>
      <c r="AKY110" s="0"/>
      <c r="AKZ110" s="0"/>
      <c r="ALA110" s="0"/>
      <c r="ALB110" s="0"/>
      <c r="ALC110" s="0"/>
      <c r="ALD110" s="0"/>
      <c r="ALE110" s="0"/>
      <c r="ALF110" s="0"/>
      <c r="ALG110" s="0"/>
      <c r="ALH110" s="0"/>
      <c r="ALI110" s="0"/>
      <c r="ALJ110" s="0"/>
      <c r="ALK110" s="0"/>
      <c r="ALL110" s="0"/>
      <c r="ALM110" s="0"/>
      <c r="ALN110" s="0"/>
      <c r="ALO110" s="0"/>
      <c r="ALP110" s="0"/>
      <c r="ALQ110" s="0"/>
      <c r="ALR110" s="0"/>
      <c r="ALS110" s="0"/>
      <c r="ALT110" s="0"/>
      <c r="ALU110" s="0"/>
      <c r="ALV110" s="0"/>
      <c r="ALW110" s="0"/>
      <c r="ALX110" s="0"/>
      <c r="ALY110" s="0"/>
      <c r="ALZ110" s="0"/>
      <c r="AMA110" s="0"/>
      <c r="AMB110" s="0"/>
      <c r="AMC110" s="0"/>
      <c r="AMD110" s="0"/>
      <c r="AME110" s="0"/>
      <c r="AMF110" s="0"/>
      <c r="AMG110" s="0"/>
      <c r="AMH110" s="0"/>
      <c r="AMI110" s="0"/>
      <c r="AMJ110" s="0"/>
    </row>
    <row r="111" s="14" customFormat="true" ht="12.8" hidden="false" customHeight="false" outlineLevel="0" collapsed="false">
      <c r="A111" s="19" t="n">
        <v>44</v>
      </c>
      <c r="B111" s="6" t="n">
        <v>2</v>
      </c>
      <c r="C111" s="7" t="b">
        <v>0</v>
      </c>
      <c r="D111" s="7" t="b">
        <v>0</v>
      </c>
      <c r="E111" s="7" t="b">
        <v>0</v>
      </c>
      <c r="F111" s="6" t="n">
        <v>28</v>
      </c>
      <c r="G111" s="14" t="n">
        <v>14</v>
      </c>
      <c r="H111" s="16" t="b">
        <v>0</v>
      </c>
      <c r="I111" s="7" t="b">
        <v>0</v>
      </c>
      <c r="J111" s="7" t="b">
        <v>0</v>
      </c>
      <c r="K111" s="7" t="b">
        <v>1</v>
      </c>
      <c r="L111" s="6" t="n">
        <v>56</v>
      </c>
      <c r="M111" s="6" t="n">
        <v>35.3</v>
      </c>
      <c r="N111" s="6" t="n">
        <v>1</v>
      </c>
      <c r="O111" s="7" t="b">
        <v>1</v>
      </c>
      <c r="P111" s="7" t="b">
        <v>1</v>
      </c>
      <c r="Q111" s="7" t="b">
        <v>0</v>
      </c>
      <c r="R111" s="7" t="b">
        <v>0</v>
      </c>
      <c r="S111" s="7" t="b">
        <v>0</v>
      </c>
      <c r="T111" s="7" t="b">
        <v>0</v>
      </c>
      <c r="U111" s="7" t="b">
        <v>0</v>
      </c>
      <c r="V111" s="6" t="n">
        <v>0</v>
      </c>
      <c r="W111" s="17" t="n">
        <v>6</v>
      </c>
      <c r="X111" s="6" t="n">
        <v>0.25</v>
      </c>
      <c r="Y111" s="6" t="n">
        <v>8.14</v>
      </c>
      <c r="Z111" s="6" t="n">
        <f aca="false">(Y111*7.5006157584566)/X111</f>
        <v>244.220049095347</v>
      </c>
      <c r="AA111" s="6" t="n">
        <v>269</v>
      </c>
      <c r="AB111" s="6" t="n">
        <v>1819</v>
      </c>
      <c r="AC111" s="6" t="n">
        <v>43.11</v>
      </c>
      <c r="AD111" s="6" t="n">
        <v>38.5</v>
      </c>
      <c r="AE111" s="7" t="b">
        <v>0</v>
      </c>
      <c r="AF111" s="7" t="b">
        <v>0</v>
      </c>
      <c r="AG111" s="7" t="b">
        <v>0</v>
      </c>
      <c r="AH111" s="7" t="b">
        <v>0</v>
      </c>
      <c r="AI111" s="7" t="b">
        <v>1</v>
      </c>
      <c r="AJ111" s="7" t="b">
        <v>1</v>
      </c>
      <c r="AKX111" s="0"/>
      <c r="AKY111" s="0"/>
      <c r="AKZ111" s="0"/>
      <c r="ALA111" s="0"/>
      <c r="ALB111" s="0"/>
      <c r="ALC111" s="0"/>
      <c r="ALD111" s="0"/>
      <c r="ALE111" s="0"/>
      <c r="ALF111" s="0"/>
      <c r="ALG111" s="0"/>
      <c r="ALH111" s="0"/>
      <c r="ALI111" s="0"/>
      <c r="ALJ111" s="0"/>
      <c r="ALK111" s="0"/>
      <c r="ALL111" s="0"/>
      <c r="ALM111" s="0"/>
      <c r="ALN111" s="0"/>
      <c r="ALO111" s="0"/>
      <c r="ALP111" s="0"/>
      <c r="ALQ111" s="0"/>
      <c r="ALR111" s="0"/>
      <c r="ALS111" s="0"/>
      <c r="ALT111" s="0"/>
      <c r="ALU111" s="0"/>
      <c r="ALV111" s="0"/>
      <c r="ALW111" s="0"/>
      <c r="ALX111" s="0"/>
      <c r="ALY111" s="0"/>
      <c r="ALZ111" s="0"/>
      <c r="AMA111" s="0"/>
      <c r="AMB111" s="0"/>
      <c r="AMC111" s="0"/>
      <c r="AMD111" s="0"/>
      <c r="AME111" s="0"/>
      <c r="AMF111" s="0"/>
      <c r="AMG111" s="0"/>
      <c r="AMH111" s="0"/>
      <c r="AMI111" s="0"/>
      <c r="AMJ111" s="0"/>
    </row>
    <row r="112" s="14" customFormat="true" ht="12.8" hidden="false" customHeight="false" outlineLevel="0" collapsed="false">
      <c r="A112" s="19" t="n">
        <v>45</v>
      </c>
      <c r="B112" s="6" t="n">
        <v>2</v>
      </c>
      <c r="C112" s="7" t="b">
        <v>0</v>
      </c>
      <c r="D112" s="7" t="b">
        <v>0</v>
      </c>
      <c r="E112" s="7" t="b">
        <v>0</v>
      </c>
      <c r="F112" s="6" t="n">
        <v>20</v>
      </c>
      <c r="G112" s="14" t="n">
        <v>1</v>
      </c>
      <c r="H112" s="16" t="b">
        <v>0</v>
      </c>
      <c r="I112" s="7" t="b">
        <v>0</v>
      </c>
      <c r="J112" s="7" t="b">
        <v>0</v>
      </c>
      <c r="K112" s="7" t="b">
        <v>1</v>
      </c>
      <c r="L112" s="6" t="n">
        <v>40</v>
      </c>
      <c r="M112" s="6" t="n">
        <v>27.6</v>
      </c>
      <c r="N112" s="6" t="n">
        <v>0</v>
      </c>
      <c r="O112" s="7" t="b">
        <v>0</v>
      </c>
      <c r="P112" s="7" t="b">
        <v>0</v>
      </c>
      <c r="Q112" s="7" t="b">
        <v>0</v>
      </c>
      <c r="R112" s="7" t="b">
        <v>0</v>
      </c>
      <c r="S112" s="7" t="b">
        <v>0</v>
      </c>
      <c r="T112" s="7" t="b">
        <v>0</v>
      </c>
      <c r="U112" s="7" t="b">
        <v>0</v>
      </c>
      <c r="V112" s="6" t="n">
        <v>1</v>
      </c>
      <c r="W112" s="17"/>
      <c r="X112" s="6"/>
      <c r="Y112" s="6"/>
      <c r="Z112" s="6"/>
      <c r="AA112" s="6"/>
      <c r="AB112" s="6"/>
      <c r="AC112" s="6"/>
      <c r="AD112" s="6"/>
      <c r="AE112" s="7"/>
      <c r="AF112" s="7"/>
      <c r="AG112" s="7"/>
      <c r="AH112" s="7"/>
      <c r="AI112" s="7"/>
      <c r="AJ112" s="7" t="b">
        <v>1</v>
      </c>
      <c r="AKX112" s="0"/>
      <c r="AKY112" s="0"/>
      <c r="AKZ112" s="0"/>
      <c r="ALA112" s="0"/>
      <c r="ALB112" s="0"/>
      <c r="ALC112" s="0"/>
      <c r="ALD112" s="0"/>
      <c r="ALE112" s="0"/>
      <c r="ALF112" s="0"/>
      <c r="ALG112" s="0"/>
      <c r="ALH112" s="0"/>
      <c r="ALI112" s="0"/>
      <c r="ALJ112" s="0"/>
      <c r="ALK112" s="0"/>
      <c r="ALL112" s="0"/>
      <c r="ALM112" s="0"/>
      <c r="ALN112" s="0"/>
      <c r="ALO112" s="0"/>
      <c r="ALP112" s="0"/>
      <c r="ALQ112" s="0"/>
      <c r="ALR112" s="0"/>
      <c r="ALS112" s="0"/>
      <c r="ALT112" s="0"/>
      <c r="ALU112" s="0"/>
      <c r="ALV112" s="0"/>
      <c r="ALW112" s="0"/>
      <c r="ALX112" s="0"/>
      <c r="ALY112" s="0"/>
      <c r="ALZ112" s="0"/>
      <c r="AMA112" s="0"/>
      <c r="AMB112" s="0"/>
      <c r="AMC112" s="0"/>
      <c r="AMD112" s="0"/>
      <c r="AME112" s="0"/>
      <c r="AMF112" s="0"/>
      <c r="AMG112" s="0"/>
      <c r="AMH112" s="0"/>
      <c r="AMI112" s="0"/>
      <c r="AMJ112" s="0"/>
    </row>
    <row r="113" s="14" customFormat="true" ht="12.8" hidden="false" customHeight="false" outlineLevel="0" collapsed="false">
      <c r="A113" s="19" t="n">
        <v>47</v>
      </c>
      <c r="B113" s="6" t="n">
        <v>2</v>
      </c>
      <c r="C113" s="7" t="b">
        <v>0</v>
      </c>
      <c r="D113" s="7" t="b">
        <v>0</v>
      </c>
      <c r="E113" s="7" t="b">
        <v>0</v>
      </c>
      <c r="F113" s="6" t="n">
        <v>19</v>
      </c>
      <c r="G113" s="14" t="n">
        <v>2</v>
      </c>
      <c r="H113" s="16" t="b">
        <v>0</v>
      </c>
      <c r="I113" s="7" t="b">
        <v>0</v>
      </c>
      <c r="J113" s="7" t="b">
        <v>0</v>
      </c>
      <c r="K113" s="7" t="b">
        <v>0</v>
      </c>
      <c r="L113" s="6" t="n">
        <v>39</v>
      </c>
      <c r="M113" s="6" t="n">
        <v>22.8</v>
      </c>
      <c r="N113" s="6" t="n">
        <v>0</v>
      </c>
      <c r="O113" s="7" t="b">
        <v>0</v>
      </c>
      <c r="P113" s="7" t="b">
        <v>0</v>
      </c>
      <c r="Q113" s="7" t="b">
        <v>0</v>
      </c>
      <c r="R113" s="7" t="b">
        <v>0</v>
      </c>
      <c r="S113" s="7" t="b">
        <v>0</v>
      </c>
      <c r="T113" s="7" t="b">
        <v>0</v>
      </c>
      <c r="U113" s="7" t="b">
        <v>0</v>
      </c>
      <c r="V113" s="6" t="n">
        <v>0</v>
      </c>
      <c r="W113" s="17" t="n">
        <v>5</v>
      </c>
      <c r="X113" s="6" t="n">
        <v>0.32</v>
      </c>
      <c r="Y113" s="6" t="n">
        <v>10.6</v>
      </c>
      <c r="Z113" s="6" t="n">
        <f aca="false">(Y113*7.5006157584566)/X113</f>
        <v>248.457896998875</v>
      </c>
      <c r="AA113" s="6" t="n">
        <v>7</v>
      </c>
      <c r="AB113" s="6"/>
      <c r="AC113" s="6" t="n">
        <v>0.9</v>
      </c>
      <c r="AD113" s="6" t="n">
        <v>37.5</v>
      </c>
      <c r="AE113" s="7" t="b">
        <v>0</v>
      </c>
      <c r="AF113" s="7" t="b">
        <v>0</v>
      </c>
      <c r="AG113" s="7" t="b">
        <v>0</v>
      </c>
      <c r="AH113" s="7" t="b">
        <v>0</v>
      </c>
      <c r="AI113" s="7" t="b">
        <v>0</v>
      </c>
      <c r="AJ113" s="7" t="b">
        <v>1</v>
      </c>
      <c r="AKX113" s="0"/>
      <c r="AKY113" s="0"/>
      <c r="AKZ113" s="0"/>
      <c r="ALA113" s="0"/>
      <c r="ALB113" s="0"/>
      <c r="ALC113" s="0"/>
      <c r="ALD113" s="0"/>
      <c r="ALE113" s="0"/>
      <c r="ALF113" s="0"/>
      <c r="ALG113" s="0"/>
      <c r="ALH113" s="0"/>
      <c r="ALI113" s="0"/>
      <c r="ALJ113" s="0"/>
      <c r="ALK113" s="0"/>
      <c r="ALL113" s="0"/>
      <c r="ALM113" s="0"/>
      <c r="ALN113" s="0"/>
      <c r="ALO113" s="0"/>
      <c r="ALP113" s="0"/>
      <c r="ALQ113" s="0"/>
      <c r="ALR113" s="0"/>
      <c r="ALS113" s="0"/>
      <c r="ALT113" s="0"/>
      <c r="ALU113" s="0"/>
      <c r="ALV113" s="0"/>
      <c r="ALW113" s="0"/>
      <c r="ALX113" s="0"/>
      <c r="ALY113" s="0"/>
      <c r="ALZ113" s="0"/>
      <c r="AMA113" s="0"/>
      <c r="AMB113" s="0"/>
      <c r="AMC113" s="0"/>
      <c r="AMD113" s="0"/>
      <c r="AME113" s="0"/>
      <c r="AMF113" s="0"/>
      <c r="AMG113" s="0"/>
      <c r="AMH113" s="0"/>
      <c r="AMI113" s="0"/>
      <c r="AMJ113" s="0"/>
    </row>
    <row r="114" s="14" customFormat="true" ht="12.8" hidden="false" customHeight="false" outlineLevel="0" collapsed="false">
      <c r="A114" s="19" t="n">
        <v>48</v>
      </c>
      <c r="B114" s="6" t="n">
        <v>2</v>
      </c>
      <c r="C114" s="7" t="b">
        <v>0</v>
      </c>
      <c r="D114" s="7" t="b">
        <v>0</v>
      </c>
      <c r="E114" s="7" t="b">
        <v>0</v>
      </c>
      <c r="F114" s="6" t="n">
        <v>11</v>
      </c>
      <c r="G114" s="14" t="n">
        <v>7</v>
      </c>
      <c r="H114" s="16" t="b">
        <v>0</v>
      </c>
      <c r="I114" s="7" t="b">
        <v>0</v>
      </c>
      <c r="J114" s="7" t="b">
        <v>0</v>
      </c>
      <c r="K114" s="7" t="b">
        <v>0</v>
      </c>
      <c r="L114" s="6" t="n">
        <v>55</v>
      </c>
      <c r="M114" s="6" t="n">
        <v>22.5</v>
      </c>
      <c r="N114" s="6" t="n">
        <v>2</v>
      </c>
      <c r="O114" s="7" t="b">
        <v>0</v>
      </c>
      <c r="P114" s="7" t="b">
        <v>0</v>
      </c>
      <c r="Q114" s="7" t="b">
        <v>0</v>
      </c>
      <c r="R114" s="7" t="b">
        <v>0</v>
      </c>
      <c r="S114" s="7" t="b">
        <v>0</v>
      </c>
      <c r="T114" s="7" t="b">
        <v>0</v>
      </c>
      <c r="U114" s="7" t="b">
        <v>0</v>
      </c>
      <c r="V114" s="6" t="n">
        <v>0</v>
      </c>
      <c r="W114" s="17" t="n">
        <v>12</v>
      </c>
      <c r="X114" s="6" t="n">
        <v>0.3</v>
      </c>
      <c r="Y114" s="6" t="n">
        <v>16.36</v>
      </c>
      <c r="Z114" s="6" t="n">
        <f aca="false">(Y114*7.5006157584566)/X114</f>
        <v>409.033579361167</v>
      </c>
      <c r="AA114" s="6" t="n">
        <v>8</v>
      </c>
      <c r="AB114" s="6" t="n">
        <v>1235</v>
      </c>
      <c r="AC114" s="6" t="n">
        <v>0.55</v>
      </c>
      <c r="AD114" s="6" t="n">
        <v>36.7</v>
      </c>
      <c r="AE114" s="7" t="b">
        <v>0</v>
      </c>
      <c r="AF114" s="7" t="b">
        <v>0</v>
      </c>
      <c r="AG114" s="7" t="b">
        <v>0</v>
      </c>
      <c r="AH114" s="7" t="b">
        <v>0</v>
      </c>
      <c r="AI114" s="7" t="b">
        <v>0</v>
      </c>
      <c r="AJ114" s="7" t="b">
        <v>1</v>
      </c>
      <c r="AKX114" s="0"/>
      <c r="AKY114" s="0"/>
      <c r="AKZ114" s="0"/>
      <c r="ALA114" s="0"/>
      <c r="ALB114" s="0"/>
      <c r="ALC114" s="0"/>
      <c r="ALD114" s="0"/>
      <c r="ALE114" s="0"/>
      <c r="ALF114" s="0"/>
      <c r="ALG114" s="0"/>
      <c r="ALH114" s="0"/>
      <c r="ALI114" s="0"/>
      <c r="ALJ114" s="0"/>
      <c r="ALK114" s="0"/>
      <c r="ALL114" s="0"/>
      <c r="ALM114" s="0"/>
      <c r="ALN114" s="0"/>
      <c r="ALO114" s="0"/>
      <c r="ALP114" s="0"/>
      <c r="ALQ114" s="0"/>
      <c r="ALR114" s="0"/>
      <c r="ALS114" s="0"/>
      <c r="ALT114" s="0"/>
      <c r="ALU114" s="0"/>
      <c r="ALV114" s="0"/>
      <c r="ALW114" s="0"/>
      <c r="ALX114" s="0"/>
      <c r="ALY114" s="0"/>
      <c r="ALZ114" s="0"/>
      <c r="AMA114" s="0"/>
      <c r="AMB114" s="0"/>
      <c r="AMC114" s="0"/>
      <c r="AMD114" s="0"/>
      <c r="AME114" s="0"/>
      <c r="AMF114" s="0"/>
      <c r="AMG114" s="0"/>
      <c r="AMH114" s="0"/>
      <c r="AMI114" s="0"/>
      <c r="AMJ114" s="0"/>
    </row>
    <row r="115" s="14" customFormat="true" ht="12.8" hidden="false" customHeight="false" outlineLevel="0" collapsed="false">
      <c r="A115" s="19" t="n">
        <v>51</v>
      </c>
      <c r="B115" s="6" t="n">
        <v>2</v>
      </c>
      <c r="C115" s="7" t="b">
        <v>0</v>
      </c>
      <c r="D115" s="7" t="b">
        <v>0</v>
      </c>
      <c r="E115" s="7" t="b">
        <v>0</v>
      </c>
      <c r="F115" s="6" t="n">
        <v>20</v>
      </c>
      <c r="G115" s="14" t="n">
        <v>9</v>
      </c>
      <c r="H115" s="16" t="b">
        <v>1</v>
      </c>
      <c r="I115" s="7" t="b">
        <v>0</v>
      </c>
      <c r="J115" s="7" t="b">
        <v>0</v>
      </c>
      <c r="K115" s="7" t="b">
        <v>0</v>
      </c>
      <c r="L115" s="6" t="n">
        <v>61</v>
      </c>
      <c r="M115" s="6" t="n">
        <v>26.2</v>
      </c>
      <c r="N115" s="6" t="n">
        <v>0</v>
      </c>
      <c r="O115" s="7" t="b">
        <v>1</v>
      </c>
      <c r="P115" s="7" t="b">
        <v>1</v>
      </c>
      <c r="Q115" s="7" t="b">
        <v>0</v>
      </c>
      <c r="R115" s="7" t="b">
        <v>0</v>
      </c>
      <c r="S115" s="7" t="b">
        <v>0</v>
      </c>
      <c r="T115" s="7" t="b">
        <v>0</v>
      </c>
      <c r="U115" s="7" t="b">
        <v>0</v>
      </c>
      <c r="V115" s="6" t="n">
        <v>0</v>
      </c>
      <c r="W115" s="17" t="n">
        <v>5</v>
      </c>
      <c r="X115" s="6" t="n">
        <v>0.28</v>
      </c>
      <c r="Y115" s="6" t="n">
        <v>9.58</v>
      </c>
      <c r="Z115" s="6" t="n">
        <f aca="false">(Y115*7.5006157584566)/X115</f>
        <v>256.628210592908</v>
      </c>
      <c r="AA115" s="6" t="n">
        <v>154</v>
      </c>
      <c r="AB115" s="6" t="n">
        <v>1146</v>
      </c>
      <c r="AC115" s="6" t="n">
        <v>2.71</v>
      </c>
      <c r="AD115" s="6" t="n">
        <v>38.4</v>
      </c>
      <c r="AE115" s="7" t="b">
        <v>0</v>
      </c>
      <c r="AF115" s="7" t="b">
        <v>1</v>
      </c>
      <c r="AG115" s="7" t="b">
        <v>0</v>
      </c>
      <c r="AH115" s="7" t="b">
        <v>0</v>
      </c>
      <c r="AI115" s="7" t="b">
        <v>1</v>
      </c>
      <c r="AJ115" s="7" t="b">
        <v>1</v>
      </c>
      <c r="AKX115" s="0"/>
      <c r="AKY115" s="0"/>
      <c r="AKZ115" s="0"/>
      <c r="ALA115" s="0"/>
      <c r="ALB115" s="0"/>
      <c r="ALC115" s="0"/>
      <c r="ALD115" s="0"/>
      <c r="ALE115" s="0"/>
      <c r="ALF115" s="0"/>
      <c r="ALG115" s="0"/>
      <c r="ALH115" s="0"/>
      <c r="ALI115" s="0"/>
      <c r="ALJ115" s="0"/>
      <c r="ALK115" s="0"/>
      <c r="ALL115" s="0"/>
      <c r="ALM115" s="0"/>
      <c r="ALN115" s="0"/>
      <c r="ALO115" s="0"/>
      <c r="ALP115" s="0"/>
      <c r="ALQ115" s="0"/>
      <c r="ALR115" s="0"/>
      <c r="ALS115" s="0"/>
      <c r="ALT115" s="0"/>
      <c r="ALU115" s="0"/>
      <c r="ALV115" s="0"/>
      <c r="ALW115" s="0"/>
      <c r="ALX115" s="0"/>
      <c r="ALY115" s="0"/>
      <c r="ALZ115" s="0"/>
      <c r="AMA115" s="0"/>
      <c r="AMB115" s="0"/>
      <c r="AMC115" s="0"/>
      <c r="AMD115" s="0"/>
      <c r="AME115" s="0"/>
      <c r="AMF115" s="0"/>
      <c r="AMG115" s="0"/>
      <c r="AMH115" s="0"/>
      <c r="AMI115" s="0"/>
      <c r="AMJ115" s="0"/>
    </row>
    <row r="116" s="14" customFormat="true" ht="12.8" hidden="false" customHeight="false" outlineLevel="0" collapsed="false">
      <c r="A116" s="19" t="n">
        <v>52</v>
      </c>
      <c r="B116" s="6" t="n">
        <v>2</v>
      </c>
      <c r="C116" s="7" t="b">
        <v>0</v>
      </c>
      <c r="D116" s="7" t="b">
        <v>0</v>
      </c>
      <c r="E116" s="7" t="b">
        <v>0</v>
      </c>
      <c r="F116" s="6" t="n">
        <v>14</v>
      </c>
      <c r="G116" s="14" t="n">
        <v>7</v>
      </c>
      <c r="H116" s="16" t="b">
        <v>0</v>
      </c>
      <c r="I116" s="7" t="b">
        <v>0</v>
      </c>
      <c r="J116" s="7" t="b">
        <v>0</v>
      </c>
      <c r="K116" s="7" t="b">
        <v>0</v>
      </c>
      <c r="L116" s="6" t="n">
        <v>41</v>
      </c>
      <c r="M116" s="6" t="n">
        <v>23.5</v>
      </c>
      <c r="N116" s="6" t="n">
        <v>0</v>
      </c>
      <c r="O116" s="7" t="b">
        <v>0</v>
      </c>
      <c r="P116" s="7" t="b">
        <v>0</v>
      </c>
      <c r="Q116" s="7" t="b">
        <v>0</v>
      </c>
      <c r="R116" s="7" t="b">
        <v>0</v>
      </c>
      <c r="S116" s="7" t="b">
        <v>0</v>
      </c>
      <c r="T116" s="7" t="b">
        <v>0</v>
      </c>
      <c r="U116" s="7" t="b">
        <v>0</v>
      </c>
      <c r="V116" s="6" t="n">
        <v>0</v>
      </c>
      <c r="W116" s="17" t="n">
        <v>8</v>
      </c>
      <c r="X116" s="6" t="n">
        <v>0.35</v>
      </c>
      <c r="Y116" s="6" t="n">
        <v>10.6</v>
      </c>
      <c r="Z116" s="6" t="n">
        <f aca="false">(Y116*7.5006157584566)/X116</f>
        <v>227.161505827543</v>
      </c>
      <c r="AA116" s="6" t="n">
        <v>75</v>
      </c>
      <c r="AB116" s="6" t="n">
        <v>5366</v>
      </c>
      <c r="AC116" s="6" t="n">
        <v>48.86</v>
      </c>
      <c r="AD116" s="6" t="n">
        <v>36.6</v>
      </c>
      <c r="AE116" s="7" t="b">
        <v>0</v>
      </c>
      <c r="AF116" s="7" t="b">
        <v>0</v>
      </c>
      <c r="AG116" s="7" t="b">
        <v>0</v>
      </c>
      <c r="AH116" s="7" t="b">
        <v>0</v>
      </c>
      <c r="AI116" s="7" t="b">
        <v>1</v>
      </c>
      <c r="AJ116" s="7" t="b">
        <v>1</v>
      </c>
      <c r="AKX116" s="0"/>
      <c r="AKY116" s="0"/>
      <c r="AKZ116" s="0"/>
      <c r="ALA116" s="0"/>
      <c r="ALB116" s="0"/>
      <c r="ALC116" s="0"/>
      <c r="ALD116" s="0"/>
      <c r="ALE116" s="0"/>
      <c r="ALF116" s="0"/>
      <c r="ALG116" s="0"/>
      <c r="ALH116" s="0"/>
      <c r="ALI116" s="0"/>
      <c r="ALJ116" s="0"/>
      <c r="ALK116" s="0"/>
      <c r="ALL116" s="0"/>
      <c r="ALM116" s="0"/>
      <c r="ALN116" s="0"/>
      <c r="ALO116" s="0"/>
      <c r="ALP116" s="0"/>
      <c r="ALQ116" s="0"/>
      <c r="ALR116" s="0"/>
      <c r="ALS116" s="0"/>
      <c r="ALT116" s="0"/>
      <c r="ALU116" s="0"/>
      <c r="ALV116" s="0"/>
      <c r="ALW116" s="0"/>
      <c r="ALX116" s="0"/>
      <c r="ALY116" s="0"/>
      <c r="ALZ116" s="0"/>
      <c r="AMA116" s="0"/>
      <c r="AMB116" s="0"/>
      <c r="AMC116" s="0"/>
      <c r="AMD116" s="0"/>
      <c r="AME116" s="0"/>
      <c r="AMF116" s="0"/>
      <c r="AMG116" s="0"/>
      <c r="AMH116" s="0"/>
      <c r="AMI116" s="0"/>
      <c r="AMJ116" s="0"/>
    </row>
    <row r="117" s="14" customFormat="true" ht="12.8" hidden="false" customHeight="false" outlineLevel="0" collapsed="false">
      <c r="A117" s="19" t="n">
        <v>54</v>
      </c>
      <c r="B117" s="6" t="n">
        <v>2</v>
      </c>
      <c r="C117" s="7" t="b">
        <v>0</v>
      </c>
      <c r="D117" s="7" t="b">
        <v>0</v>
      </c>
      <c r="E117" s="7" t="b">
        <v>0</v>
      </c>
      <c r="F117" s="6" t="n">
        <v>14</v>
      </c>
      <c r="G117" s="14" t="n">
        <v>3</v>
      </c>
      <c r="H117" s="16" t="b">
        <v>0</v>
      </c>
      <c r="I117" s="7" t="b">
        <v>0</v>
      </c>
      <c r="J117" s="7" t="b">
        <v>0</v>
      </c>
      <c r="K117" s="7" t="b">
        <v>0</v>
      </c>
      <c r="L117" s="6" t="n">
        <v>63</v>
      </c>
      <c r="M117" s="6" t="n">
        <v>23.4</v>
      </c>
      <c r="N117" s="6" t="n">
        <v>0</v>
      </c>
      <c r="O117" s="7" t="b">
        <v>0</v>
      </c>
      <c r="P117" s="7" t="b">
        <v>1</v>
      </c>
      <c r="Q117" s="7" t="b">
        <v>0</v>
      </c>
      <c r="R117" s="7" t="b">
        <v>0</v>
      </c>
      <c r="S117" s="7" t="b">
        <v>0</v>
      </c>
      <c r="T117" s="7" t="b">
        <v>1</v>
      </c>
      <c r="U117" s="7" t="b">
        <v>0</v>
      </c>
      <c r="V117" s="6" t="n">
        <v>1</v>
      </c>
      <c r="W117" s="17" t="n">
        <v>5</v>
      </c>
      <c r="X117" s="6" t="n">
        <v>0.3</v>
      </c>
      <c r="Y117" s="6" t="n">
        <v>10.07</v>
      </c>
      <c r="Z117" s="6" t="n">
        <f aca="false">(Y117*7.5006157584566)/X117</f>
        <v>251.77066895886</v>
      </c>
      <c r="AA117" s="6" t="n">
        <v>38</v>
      </c>
      <c r="AB117" s="6" t="n">
        <v>1060</v>
      </c>
      <c r="AC117" s="6" t="n">
        <v>12.88</v>
      </c>
      <c r="AD117" s="6" t="n">
        <v>37</v>
      </c>
      <c r="AE117" s="7" t="b">
        <v>0</v>
      </c>
      <c r="AF117" s="7" t="b">
        <v>0</v>
      </c>
      <c r="AG117" s="7" t="b">
        <v>0</v>
      </c>
      <c r="AH117" s="7" t="b">
        <v>0</v>
      </c>
      <c r="AI117" s="7" t="b">
        <v>1</v>
      </c>
      <c r="AJ117" s="7" t="b">
        <v>1</v>
      </c>
      <c r="AKX117" s="0"/>
      <c r="AKY117" s="0"/>
      <c r="AKZ117" s="0"/>
      <c r="ALA117" s="0"/>
      <c r="ALB117" s="0"/>
      <c r="ALC117" s="0"/>
      <c r="ALD117" s="0"/>
      <c r="ALE117" s="0"/>
      <c r="ALF117" s="0"/>
      <c r="ALG117" s="0"/>
      <c r="ALH117" s="0"/>
      <c r="ALI117" s="0"/>
      <c r="ALJ117" s="0"/>
      <c r="ALK117" s="0"/>
      <c r="ALL117" s="0"/>
      <c r="ALM117" s="0"/>
      <c r="ALN117" s="0"/>
      <c r="ALO117" s="0"/>
      <c r="ALP117" s="0"/>
      <c r="ALQ117" s="0"/>
      <c r="ALR117" s="0"/>
      <c r="ALS117" s="0"/>
      <c r="ALT117" s="0"/>
      <c r="ALU117" s="0"/>
      <c r="ALV117" s="0"/>
      <c r="ALW117" s="0"/>
      <c r="ALX117" s="0"/>
      <c r="ALY117" s="0"/>
      <c r="ALZ117" s="0"/>
      <c r="AMA117" s="0"/>
      <c r="AMB117" s="0"/>
      <c r="AMC117" s="0"/>
      <c r="AMD117" s="0"/>
      <c r="AME117" s="0"/>
      <c r="AMF117" s="0"/>
      <c r="AMG117" s="0"/>
      <c r="AMH117" s="0"/>
      <c r="AMI117" s="0"/>
      <c r="AMJ117" s="0"/>
    </row>
    <row r="118" s="14" customFormat="true" ht="12.8" hidden="false" customHeight="false" outlineLevel="0" collapsed="false">
      <c r="A118" s="19" t="n">
        <v>57</v>
      </c>
      <c r="B118" s="6" t="n">
        <v>2</v>
      </c>
      <c r="C118" s="7" t="b">
        <v>0</v>
      </c>
      <c r="D118" s="7" t="b">
        <v>0</v>
      </c>
      <c r="E118" s="7" t="b">
        <v>0</v>
      </c>
      <c r="F118" s="6" t="n">
        <v>12</v>
      </c>
      <c r="G118" s="14" t="n">
        <v>7</v>
      </c>
      <c r="H118" s="16" t="b">
        <v>0</v>
      </c>
      <c r="I118" s="7" t="b">
        <v>0</v>
      </c>
      <c r="J118" s="7" t="b">
        <v>0</v>
      </c>
      <c r="K118" s="7" t="b">
        <v>0</v>
      </c>
      <c r="L118" s="6" t="n">
        <v>55</v>
      </c>
      <c r="M118" s="6" t="n">
        <v>22.1</v>
      </c>
      <c r="N118" s="6" t="n">
        <v>4</v>
      </c>
      <c r="O118" s="7" t="b">
        <v>1</v>
      </c>
      <c r="P118" s="7" t="b">
        <v>0</v>
      </c>
      <c r="Q118" s="7" t="b">
        <v>0</v>
      </c>
      <c r="R118" s="7" t="b">
        <v>0</v>
      </c>
      <c r="S118" s="7" t="b">
        <v>1</v>
      </c>
      <c r="T118" s="7" t="b">
        <v>0</v>
      </c>
      <c r="U118" s="7" t="b">
        <v>0</v>
      </c>
      <c r="V118" s="6" t="n">
        <v>0</v>
      </c>
      <c r="W118" s="17" t="n">
        <v>5</v>
      </c>
      <c r="X118" s="6" t="n">
        <v>0.25</v>
      </c>
      <c r="Y118" s="6" t="n">
        <v>9.5</v>
      </c>
      <c r="Z118" s="6" t="n">
        <f aca="false">(Y118*7.5006157584566)/X118</f>
        <v>285.023398821351</v>
      </c>
      <c r="AA118" s="6" t="n">
        <v>116</v>
      </c>
      <c r="AB118" s="6" t="n">
        <v>1206</v>
      </c>
      <c r="AC118" s="6" t="n">
        <v>3.63</v>
      </c>
      <c r="AD118" s="6" t="n">
        <v>36.4</v>
      </c>
      <c r="AE118" s="7" t="b">
        <v>0</v>
      </c>
      <c r="AF118" s="7" t="b">
        <v>0</v>
      </c>
      <c r="AG118" s="7" t="b">
        <v>0</v>
      </c>
      <c r="AH118" s="7" t="b">
        <v>0</v>
      </c>
      <c r="AI118" s="7" t="b">
        <v>1</v>
      </c>
      <c r="AJ118" s="7" t="b">
        <v>1</v>
      </c>
      <c r="AKX118" s="0"/>
      <c r="AKY118" s="0"/>
      <c r="AKZ118" s="0"/>
      <c r="ALA118" s="0"/>
      <c r="ALB118" s="0"/>
      <c r="ALC118" s="0"/>
      <c r="ALD118" s="0"/>
      <c r="ALE118" s="0"/>
      <c r="ALF118" s="0"/>
      <c r="ALG118" s="0"/>
      <c r="ALH118" s="0"/>
      <c r="ALI118" s="0"/>
      <c r="ALJ118" s="0"/>
      <c r="ALK118" s="0"/>
      <c r="ALL118" s="0"/>
      <c r="ALM118" s="0"/>
      <c r="ALN118" s="0"/>
      <c r="ALO118" s="0"/>
      <c r="ALP118" s="0"/>
      <c r="ALQ118" s="0"/>
      <c r="ALR118" s="0"/>
      <c r="ALS118" s="0"/>
      <c r="ALT118" s="0"/>
      <c r="ALU118" s="0"/>
      <c r="ALV118" s="0"/>
      <c r="ALW118" s="0"/>
      <c r="ALX118" s="0"/>
      <c r="ALY118" s="0"/>
      <c r="ALZ118" s="0"/>
      <c r="AMA118" s="0"/>
      <c r="AMB118" s="0"/>
      <c r="AMC118" s="0"/>
      <c r="AMD118" s="0"/>
      <c r="AME118" s="0"/>
      <c r="AMF118" s="0"/>
      <c r="AMG118" s="0"/>
      <c r="AMH118" s="0"/>
      <c r="AMI118" s="0"/>
      <c r="AMJ118" s="0"/>
    </row>
    <row r="119" s="14" customFormat="true" ht="12.8" hidden="false" customHeight="false" outlineLevel="0" collapsed="false">
      <c r="A119" s="19" t="n">
        <v>60</v>
      </c>
      <c r="B119" s="6" t="n">
        <v>2</v>
      </c>
      <c r="C119" s="7" t="b">
        <v>0</v>
      </c>
      <c r="D119" s="7" t="b">
        <v>0</v>
      </c>
      <c r="E119" s="7" t="b">
        <v>0</v>
      </c>
      <c r="F119" s="6" t="n">
        <v>11</v>
      </c>
      <c r="G119" s="14" t="n">
        <v>7</v>
      </c>
      <c r="H119" s="16" t="b">
        <v>0</v>
      </c>
      <c r="I119" s="7" t="b">
        <v>0</v>
      </c>
      <c r="J119" s="7" t="b">
        <v>0</v>
      </c>
      <c r="K119" s="7" t="b">
        <v>0</v>
      </c>
      <c r="L119" s="6" t="n">
        <v>61</v>
      </c>
      <c r="M119" s="6" t="n">
        <v>35.8</v>
      </c>
      <c r="N119" s="6" t="n">
        <v>0</v>
      </c>
      <c r="O119" s="7" t="b">
        <v>0</v>
      </c>
      <c r="P119" s="7" t="b">
        <v>0</v>
      </c>
      <c r="Q119" s="7" t="b">
        <v>0</v>
      </c>
      <c r="R119" s="7" t="b">
        <v>0</v>
      </c>
      <c r="S119" s="7" t="b">
        <v>0</v>
      </c>
      <c r="T119" s="7" t="b">
        <v>0</v>
      </c>
      <c r="U119" s="7" t="b">
        <v>0</v>
      </c>
      <c r="V119" s="6" t="n">
        <v>0</v>
      </c>
      <c r="W119" s="17" t="n">
        <v>5</v>
      </c>
      <c r="X119" s="6" t="n">
        <v>0.35</v>
      </c>
      <c r="Y119" s="6" t="n">
        <v>10.4</v>
      </c>
      <c r="Z119" s="6" t="n">
        <f aca="false">(Y119*7.5006157584566)/X119</f>
        <v>222.875439679853</v>
      </c>
      <c r="AA119" s="6" t="n">
        <v>39</v>
      </c>
      <c r="AB119" s="6" t="n">
        <v>951</v>
      </c>
      <c r="AC119" s="6" t="n">
        <v>5</v>
      </c>
      <c r="AD119" s="6" t="n">
        <v>37.3</v>
      </c>
      <c r="AE119" s="7" t="b">
        <v>0</v>
      </c>
      <c r="AF119" s="7" t="b">
        <v>0</v>
      </c>
      <c r="AG119" s="7" t="b">
        <v>0</v>
      </c>
      <c r="AH119" s="7" t="b">
        <v>0</v>
      </c>
      <c r="AI119" s="7" t="b">
        <v>1</v>
      </c>
      <c r="AJ119" s="7" t="b">
        <v>1</v>
      </c>
      <c r="AKX119" s="0"/>
      <c r="AKY119" s="0"/>
      <c r="AKZ119" s="0"/>
      <c r="ALA119" s="0"/>
      <c r="ALB119" s="0"/>
      <c r="ALC119" s="0"/>
      <c r="ALD119" s="0"/>
      <c r="ALE119" s="0"/>
      <c r="ALF119" s="0"/>
      <c r="ALG119" s="0"/>
      <c r="ALH119" s="0"/>
      <c r="ALI119" s="0"/>
      <c r="ALJ119" s="0"/>
      <c r="ALK119" s="0"/>
      <c r="ALL119" s="0"/>
      <c r="ALM119" s="0"/>
      <c r="ALN119" s="0"/>
      <c r="ALO119" s="0"/>
      <c r="ALP119" s="0"/>
      <c r="ALQ119" s="0"/>
      <c r="ALR119" s="0"/>
      <c r="ALS119" s="0"/>
      <c r="ALT119" s="0"/>
      <c r="ALU119" s="0"/>
      <c r="ALV119" s="0"/>
      <c r="ALW119" s="0"/>
      <c r="ALX119" s="0"/>
      <c r="ALY119" s="0"/>
      <c r="ALZ119" s="0"/>
      <c r="AMA119" s="0"/>
      <c r="AMB119" s="0"/>
      <c r="AMC119" s="0"/>
      <c r="AMD119" s="0"/>
      <c r="AME119" s="0"/>
      <c r="AMF119" s="0"/>
      <c r="AMG119" s="0"/>
      <c r="AMH119" s="0"/>
      <c r="AMI119" s="0"/>
      <c r="AMJ119" s="0"/>
    </row>
    <row r="120" s="14" customFormat="true" ht="12.8" hidden="false" customHeight="false" outlineLevel="0" collapsed="false">
      <c r="A120" s="19" t="n">
        <v>61</v>
      </c>
      <c r="B120" s="6" t="n">
        <v>2</v>
      </c>
      <c r="C120" s="7" t="b">
        <v>0</v>
      </c>
      <c r="D120" s="7" t="b">
        <v>0</v>
      </c>
      <c r="E120" s="7" t="b">
        <v>0</v>
      </c>
      <c r="F120" s="6" t="n">
        <v>6</v>
      </c>
      <c r="H120" s="16"/>
      <c r="I120" s="7"/>
      <c r="J120" s="7"/>
      <c r="K120" s="7" t="b">
        <v>0</v>
      </c>
      <c r="L120" s="6" t="n">
        <v>41</v>
      </c>
      <c r="M120" s="6" t="n">
        <v>21.6</v>
      </c>
      <c r="N120" s="6" t="n">
        <v>0</v>
      </c>
      <c r="O120" s="7" t="b">
        <v>0</v>
      </c>
      <c r="P120" s="7" t="b">
        <v>0</v>
      </c>
      <c r="Q120" s="7" t="b">
        <v>0</v>
      </c>
      <c r="R120" s="7" t="b">
        <v>0</v>
      </c>
      <c r="S120" s="7" t="b">
        <v>0</v>
      </c>
      <c r="T120" s="7" t="b">
        <v>0</v>
      </c>
      <c r="U120" s="7"/>
      <c r="V120" s="6" t="n">
        <v>0</v>
      </c>
      <c r="W120" s="17"/>
      <c r="X120" s="6"/>
      <c r="Y120" s="6"/>
      <c r="Z120" s="6"/>
      <c r="AA120" s="6"/>
      <c r="AB120" s="6"/>
      <c r="AC120" s="6"/>
      <c r="AD120" s="6"/>
      <c r="AE120" s="7"/>
      <c r="AF120" s="7"/>
      <c r="AG120" s="7"/>
      <c r="AH120" s="7"/>
      <c r="AI120" s="7"/>
      <c r="AJ120" s="7" t="b">
        <v>1</v>
      </c>
      <c r="AKX120" s="0"/>
      <c r="AKY120" s="0"/>
      <c r="AKZ120" s="0"/>
      <c r="ALA120" s="0"/>
      <c r="ALB120" s="0"/>
      <c r="ALC120" s="0"/>
      <c r="ALD120" s="0"/>
      <c r="ALE120" s="0"/>
      <c r="ALF120" s="0"/>
      <c r="ALG120" s="0"/>
      <c r="ALH120" s="0"/>
      <c r="ALI120" s="0"/>
      <c r="ALJ120" s="0"/>
      <c r="ALK120" s="0"/>
      <c r="ALL120" s="0"/>
      <c r="ALM120" s="0"/>
      <c r="ALN120" s="0"/>
      <c r="ALO120" s="0"/>
      <c r="ALP120" s="0"/>
      <c r="ALQ120" s="0"/>
      <c r="ALR120" s="0"/>
      <c r="ALS120" s="0"/>
      <c r="ALT120" s="0"/>
      <c r="ALU120" s="0"/>
      <c r="ALV120" s="0"/>
      <c r="ALW120" s="0"/>
      <c r="ALX120" s="0"/>
      <c r="ALY120" s="0"/>
      <c r="ALZ120" s="0"/>
      <c r="AMA120" s="0"/>
      <c r="AMB120" s="0"/>
      <c r="AMC120" s="0"/>
      <c r="AMD120" s="0"/>
      <c r="AME120" s="0"/>
      <c r="AMF120" s="0"/>
      <c r="AMG120" s="0"/>
      <c r="AMH120" s="0"/>
      <c r="AMI120" s="0"/>
      <c r="AMJ120" s="0"/>
    </row>
    <row r="121" s="14" customFormat="true" ht="12.8" hidden="false" customHeight="false" outlineLevel="0" collapsed="false">
      <c r="A121" s="19" t="n">
        <v>62</v>
      </c>
      <c r="B121" s="6" t="n">
        <v>2</v>
      </c>
      <c r="C121" s="7" t="b">
        <v>0</v>
      </c>
      <c r="D121" s="7" t="b">
        <v>0</v>
      </c>
      <c r="E121" s="7" t="b">
        <v>0</v>
      </c>
      <c r="F121" s="6" t="n">
        <v>49</v>
      </c>
      <c r="G121" s="14" t="n">
        <v>14</v>
      </c>
      <c r="H121" s="16" t="b">
        <v>1</v>
      </c>
      <c r="I121" s="7" t="b">
        <v>0</v>
      </c>
      <c r="J121" s="7" t="b">
        <v>1</v>
      </c>
      <c r="K121" s="7" t="b">
        <v>0</v>
      </c>
      <c r="L121" s="6" t="n">
        <v>43</v>
      </c>
      <c r="M121" s="6" t="n">
        <v>28</v>
      </c>
      <c r="N121" s="6" t="n">
        <v>1</v>
      </c>
      <c r="O121" s="7" t="b">
        <v>1</v>
      </c>
      <c r="P121" s="7" t="b">
        <v>1</v>
      </c>
      <c r="Q121" s="7" t="b">
        <v>0</v>
      </c>
      <c r="R121" s="7" t="b">
        <v>0</v>
      </c>
      <c r="S121" s="7" t="b">
        <v>0</v>
      </c>
      <c r="T121" s="7" t="b">
        <v>1</v>
      </c>
      <c r="U121" s="7" t="b">
        <v>0</v>
      </c>
      <c r="V121" s="6" t="n">
        <v>0</v>
      </c>
      <c r="W121" s="17" t="n">
        <v>10</v>
      </c>
      <c r="X121" s="6" t="n">
        <v>0.3</v>
      </c>
      <c r="Y121" s="6" t="n">
        <v>9.02</v>
      </c>
      <c r="Z121" s="6" t="n">
        <f aca="false">(Y121*7.5006157584566)/X121</f>
        <v>225.518513804262</v>
      </c>
      <c r="AA121" s="6" t="n">
        <v>229</v>
      </c>
      <c r="AB121" s="6" t="n">
        <v>4919</v>
      </c>
      <c r="AC121" s="6" t="n">
        <v>8.71</v>
      </c>
      <c r="AD121" s="6" t="n">
        <v>39</v>
      </c>
      <c r="AE121" s="7" t="b">
        <v>1</v>
      </c>
      <c r="AF121" s="7" t="b">
        <v>1</v>
      </c>
      <c r="AG121" s="7" t="b">
        <v>0</v>
      </c>
      <c r="AH121" s="7" t="b">
        <v>1</v>
      </c>
      <c r="AI121" s="7" t="b">
        <v>1</v>
      </c>
      <c r="AJ121" s="7" t="b">
        <v>1</v>
      </c>
      <c r="AKX121" s="0"/>
      <c r="AKY121" s="0"/>
      <c r="AKZ121" s="0"/>
      <c r="ALA121" s="0"/>
      <c r="ALB121" s="0"/>
      <c r="ALC121" s="0"/>
      <c r="ALD121" s="0"/>
      <c r="ALE121" s="0"/>
      <c r="ALF121" s="0"/>
      <c r="ALG121" s="0"/>
      <c r="ALH121" s="0"/>
      <c r="ALI121" s="0"/>
      <c r="ALJ121" s="0"/>
      <c r="ALK121" s="0"/>
      <c r="ALL121" s="0"/>
      <c r="ALM121" s="0"/>
      <c r="ALN121" s="0"/>
      <c r="ALO121" s="0"/>
      <c r="ALP121" s="0"/>
      <c r="ALQ121" s="0"/>
      <c r="ALR121" s="0"/>
      <c r="ALS121" s="0"/>
      <c r="ALT121" s="0"/>
      <c r="ALU121" s="0"/>
      <c r="ALV121" s="0"/>
      <c r="ALW121" s="0"/>
      <c r="ALX121" s="0"/>
      <c r="ALY121" s="0"/>
      <c r="ALZ121" s="0"/>
      <c r="AMA121" s="0"/>
      <c r="AMB121" s="0"/>
      <c r="AMC121" s="0"/>
      <c r="AMD121" s="0"/>
      <c r="AME121" s="0"/>
      <c r="AMF121" s="0"/>
      <c r="AMG121" s="0"/>
      <c r="AMH121" s="0"/>
      <c r="AMI121" s="0"/>
      <c r="AMJ121" s="0"/>
    </row>
    <row r="122" s="14" customFormat="true" ht="12.8" hidden="false" customHeight="false" outlineLevel="0" collapsed="false">
      <c r="A122" s="19" t="n">
        <v>63</v>
      </c>
      <c r="B122" s="6" t="n">
        <v>2</v>
      </c>
      <c r="C122" s="7" t="b">
        <v>0</v>
      </c>
      <c r="D122" s="7" t="b">
        <v>0</v>
      </c>
      <c r="E122" s="7" t="b">
        <v>0</v>
      </c>
      <c r="F122" s="6" t="n">
        <v>24</v>
      </c>
      <c r="G122" s="14" t="n">
        <v>10</v>
      </c>
      <c r="H122" s="16" t="b">
        <v>0</v>
      </c>
      <c r="I122" s="7" t="b">
        <v>0</v>
      </c>
      <c r="J122" s="7" t="b">
        <v>0</v>
      </c>
      <c r="K122" s="7" t="b">
        <v>0</v>
      </c>
      <c r="L122" s="6" t="n">
        <v>58</v>
      </c>
      <c r="M122" s="6" t="n">
        <v>25.9</v>
      </c>
      <c r="N122" s="6" t="n">
        <v>4</v>
      </c>
      <c r="O122" s="7" t="b">
        <v>0</v>
      </c>
      <c r="P122" s="7" t="b">
        <v>0</v>
      </c>
      <c r="Q122" s="7" t="b">
        <v>0</v>
      </c>
      <c r="R122" s="7" t="b">
        <v>0</v>
      </c>
      <c r="S122" s="7" t="b">
        <v>1</v>
      </c>
      <c r="T122" s="7" t="b">
        <v>0</v>
      </c>
      <c r="U122" s="7" t="b">
        <v>0</v>
      </c>
      <c r="V122" s="6" t="n">
        <v>0</v>
      </c>
      <c r="W122" s="17" t="n">
        <v>5</v>
      </c>
      <c r="X122" s="6" t="n">
        <v>0.3</v>
      </c>
      <c r="Y122" s="6" t="n">
        <v>10.18</v>
      </c>
      <c r="Z122" s="6" t="n">
        <f aca="false">(Y122*7.5006157584566)/X122</f>
        <v>254.520894736961</v>
      </c>
      <c r="AA122" s="6" t="n">
        <v>64</v>
      </c>
      <c r="AB122" s="6" t="n">
        <v>1551</v>
      </c>
      <c r="AC122" s="6" t="n">
        <v>2.05</v>
      </c>
      <c r="AD122" s="6" t="n">
        <v>38.1</v>
      </c>
      <c r="AE122" s="7" t="b">
        <v>0</v>
      </c>
      <c r="AF122" s="7" t="b">
        <v>0</v>
      </c>
      <c r="AG122" s="7" t="b">
        <v>0</v>
      </c>
      <c r="AH122" s="7" t="b">
        <v>0</v>
      </c>
      <c r="AI122" s="7" t="b">
        <v>1</v>
      </c>
      <c r="AJ122" s="7" t="b">
        <v>1</v>
      </c>
      <c r="AKX122" s="0"/>
      <c r="AKY122" s="0"/>
      <c r="AKZ122" s="0"/>
      <c r="ALA122" s="0"/>
      <c r="ALB122" s="0"/>
      <c r="ALC122" s="0"/>
      <c r="ALD122" s="0"/>
      <c r="ALE122" s="0"/>
      <c r="ALF122" s="0"/>
      <c r="ALG122" s="0"/>
      <c r="ALH122" s="0"/>
      <c r="ALI122" s="0"/>
      <c r="ALJ122" s="0"/>
      <c r="ALK122" s="0"/>
      <c r="ALL122" s="0"/>
      <c r="ALM122" s="0"/>
      <c r="ALN122" s="0"/>
      <c r="ALO122" s="0"/>
      <c r="ALP122" s="0"/>
      <c r="ALQ122" s="0"/>
      <c r="ALR122" s="0"/>
      <c r="ALS122" s="0"/>
      <c r="ALT122" s="0"/>
      <c r="ALU122" s="0"/>
      <c r="ALV122" s="0"/>
      <c r="ALW122" s="0"/>
      <c r="ALX122" s="0"/>
      <c r="ALY122" s="0"/>
      <c r="ALZ122" s="0"/>
      <c r="AMA122" s="0"/>
      <c r="AMB122" s="0"/>
      <c r="AMC122" s="0"/>
      <c r="AMD122" s="0"/>
      <c r="AME122" s="0"/>
      <c r="AMF122" s="0"/>
      <c r="AMG122" s="0"/>
      <c r="AMH122" s="0"/>
      <c r="AMI122" s="0"/>
      <c r="AMJ122" s="0"/>
    </row>
    <row r="123" s="14" customFormat="true" ht="12.8" hidden="false" customHeight="false" outlineLevel="0" collapsed="false">
      <c r="A123" s="19" t="n">
        <v>64</v>
      </c>
      <c r="B123" s="6" t="n">
        <v>2</v>
      </c>
      <c r="C123" s="7" t="b">
        <v>0</v>
      </c>
      <c r="D123" s="7" t="b">
        <v>0</v>
      </c>
      <c r="E123" s="7" t="b">
        <v>0</v>
      </c>
      <c r="F123" s="6" t="n">
        <v>24</v>
      </c>
      <c r="G123" s="14" t="n">
        <v>16</v>
      </c>
      <c r="H123" s="16" t="b">
        <v>0</v>
      </c>
      <c r="I123" s="7" t="b">
        <v>1</v>
      </c>
      <c r="J123" s="7" t="b">
        <v>1</v>
      </c>
      <c r="K123" s="7" t="b">
        <v>0</v>
      </c>
      <c r="L123" s="6" t="n">
        <v>47</v>
      </c>
      <c r="M123" s="6" t="n">
        <v>35.2</v>
      </c>
      <c r="N123" s="6" t="n">
        <v>0</v>
      </c>
      <c r="O123" s="7" t="b">
        <v>0</v>
      </c>
      <c r="P123" s="7" t="b">
        <v>1</v>
      </c>
      <c r="Q123" s="7" t="b">
        <v>0</v>
      </c>
      <c r="R123" s="7" t="b">
        <v>0</v>
      </c>
      <c r="S123" s="7" t="b">
        <v>1</v>
      </c>
      <c r="T123" s="7" t="b">
        <v>0</v>
      </c>
      <c r="U123" s="7" t="b">
        <v>0</v>
      </c>
      <c r="V123" s="6" t="n">
        <v>0</v>
      </c>
      <c r="W123" s="17" t="n">
        <v>8</v>
      </c>
      <c r="X123" s="6" t="n">
        <v>0.65</v>
      </c>
      <c r="Y123" s="6" t="n">
        <v>11.42</v>
      </c>
      <c r="Z123" s="6" t="n">
        <f aca="false">(Y123*7.5006157584566)/X123</f>
        <v>131.780049171653</v>
      </c>
      <c r="AA123" s="6" t="n">
        <v>330</v>
      </c>
      <c r="AB123" s="6" t="n">
        <v>2483</v>
      </c>
      <c r="AC123" s="6" t="n">
        <v>1.68</v>
      </c>
      <c r="AD123" s="6" t="n">
        <v>40.2</v>
      </c>
      <c r="AE123" s="7" t="b">
        <v>0</v>
      </c>
      <c r="AF123" s="7" t="b">
        <v>1</v>
      </c>
      <c r="AG123" s="7" t="b">
        <v>0</v>
      </c>
      <c r="AH123" s="7" t="b">
        <v>0</v>
      </c>
      <c r="AI123" s="7" t="b">
        <v>1</v>
      </c>
      <c r="AJ123" s="7" t="b">
        <v>1</v>
      </c>
      <c r="AKX123" s="0"/>
      <c r="AKY123" s="0"/>
      <c r="AKZ123" s="0"/>
      <c r="ALA123" s="0"/>
      <c r="ALB123" s="0"/>
      <c r="ALC123" s="0"/>
      <c r="ALD123" s="0"/>
      <c r="ALE123" s="0"/>
      <c r="ALF123" s="0"/>
      <c r="ALG123" s="0"/>
      <c r="ALH123" s="0"/>
      <c r="ALI123" s="0"/>
      <c r="ALJ123" s="0"/>
      <c r="ALK123" s="0"/>
      <c r="ALL123" s="0"/>
      <c r="ALM123" s="0"/>
      <c r="ALN123" s="0"/>
      <c r="ALO123" s="0"/>
      <c r="ALP123" s="0"/>
      <c r="ALQ123" s="0"/>
      <c r="ALR123" s="0"/>
      <c r="ALS123" s="0"/>
      <c r="ALT123" s="0"/>
      <c r="ALU123" s="0"/>
      <c r="ALV123" s="0"/>
      <c r="ALW123" s="0"/>
      <c r="ALX123" s="0"/>
      <c r="ALY123" s="0"/>
      <c r="ALZ123" s="0"/>
      <c r="AMA123" s="0"/>
      <c r="AMB123" s="0"/>
      <c r="AMC123" s="0"/>
      <c r="AMD123" s="0"/>
      <c r="AME123" s="0"/>
      <c r="AMF123" s="0"/>
      <c r="AMG123" s="0"/>
      <c r="AMH123" s="0"/>
      <c r="AMI123" s="0"/>
      <c r="AMJ123" s="0"/>
    </row>
    <row r="124" s="14" customFormat="true" ht="12.8" hidden="false" customHeight="false" outlineLevel="0" collapsed="false">
      <c r="A124" s="19" t="n">
        <v>66</v>
      </c>
      <c r="B124" s="6" t="n">
        <v>2</v>
      </c>
      <c r="C124" s="7" t="b">
        <v>0</v>
      </c>
      <c r="D124" s="7" t="b">
        <v>0</v>
      </c>
      <c r="E124" s="7" t="b">
        <v>0</v>
      </c>
      <c r="F124" s="6" t="n">
        <v>10</v>
      </c>
      <c r="G124" s="14" t="n">
        <v>6</v>
      </c>
      <c r="H124" s="16" t="b">
        <v>0</v>
      </c>
      <c r="I124" s="7" t="b">
        <v>0</v>
      </c>
      <c r="J124" s="7" t="b">
        <v>0</v>
      </c>
      <c r="K124" s="7" t="b">
        <v>1</v>
      </c>
      <c r="L124" s="6" t="n">
        <v>33</v>
      </c>
      <c r="M124" s="6" t="n">
        <v>30.6</v>
      </c>
      <c r="N124" s="6" t="n">
        <v>1</v>
      </c>
      <c r="O124" s="7" t="b">
        <v>0</v>
      </c>
      <c r="P124" s="7" t="b">
        <v>0</v>
      </c>
      <c r="Q124" s="7" t="b">
        <v>0</v>
      </c>
      <c r="R124" s="7" t="b">
        <v>0</v>
      </c>
      <c r="S124" s="7" t="b">
        <v>0</v>
      </c>
      <c r="T124" s="7" t="b">
        <v>0</v>
      </c>
      <c r="U124" s="7" t="b">
        <v>0</v>
      </c>
      <c r="V124" s="6" t="n">
        <v>0</v>
      </c>
      <c r="W124" s="17" t="n">
        <v>5</v>
      </c>
      <c r="X124" s="6" t="n">
        <v>0.25</v>
      </c>
      <c r="Y124" s="6" t="n">
        <v>10.1</v>
      </c>
      <c r="Z124" s="6" t="n">
        <f aca="false">(Y124*7.5006157584566)/X124</f>
        <v>303.024876641647</v>
      </c>
      <c r="AA124" s="6" t="n">
        <v>194</v>
      </c>
      <c r="AB124" s="6" t="n">
        <v>3013</v>
      </c>
      <c r="AC124" s="6" t="n">
        <v>2.06</v>
      </c>
      <c r="AD124" s="6" t="n">
        <v>36.6</v>
      </c>
      <c r="AE124" s="7" t="b">
        <v>0</v>
      </c>
      <c r="AF124" s="7" t="b">
        <v>0</v>
      </c>
      <c r="AG124" s="7" t="b">
        <v>0</v>
      </c>
      <c r="AH124" s="7" t="b">
        <v>0</v>
      </c>
      <c r="AI124" s="7" t="b">
        <v>1</v>
      </c>
      <c r="AJ124" s="7" t="b">
        <v>1</v>
      </c>
      <c r="AKX124" s="0"/>
      <c r="AKY124" s="0"/>
      <c r="AKZ124" s="0"/>
      <c r="ALA124" s="0"/>
      <c r="ALB124" s="0"/>
      <c r="ALC124" s="0"/>
      <c r="ALD124" s="0"/>
      <c r="ALE124" s="0"/>
      <c r="ALF124" s="0"/>
      <c r="ALG124" s="0"/>
      <c r="ALH124" s="0"/>
      <c r="ALI124" s="0"/>
      <c r="ALJ124" s="0"/>
      <c r="ALK124" s="0"/>
      <c r="ALL124" s="0"/>
      <c r="ALM124" s="0"/>
      <c r="ALN124" s="0"/>
      <c r="ALO124" s="0"/>
      <c r="ALP124" s="0"/>
      <c r="ALQ124" s="0"/>
      <c r="ALR124" s="0"/>
      <c r="ALS124" s="0"/>
      <c r="ALT124" s="0"/>
      <c r="ALU124" s="0"/>
      <c r="ALV124" s="0"/>
      <c r="ALW124" s="0"/>
      <c r="ALX124" s="0"/>
      <c r="ALY124" s="0"/>
      <c r="ALZ124" s="0"/>
      <c r="AMA124" s="0"/>
      <c r="AMB124" s="0"/>
      <c r="AMC124" s="0"/>
      <c r="AMD124" s="0"/>
      <c r="AME124" s="0"/>
      <c r="AMF124" s="0"/>
      <c r="AMG124" s="0"/>
      <c r="AMH124" s="0"/>
      <c r="AMI124" s="0"/>
      <c r="AMJ124" s="0"/>
    </row>
    <row r="125" s="14" customFormat="true" ht="12.8" hidden="false" customHeight="false" outlineLevel="0" collapsed="false">
      <c r="A125" s="19" t="n">
        <v>68</v>
      </c>
      <c r="B125" s="6" t="n">
        <v>2</v>
      </c>
      <c r="C125" s="7" t="b">
        <v>0</v>
      </c>
      <c r="D125" s="7" t="b">
        <v>0</v>
      </c>
      <c r="E125" s="7" t="b">
        <v>0</v>
      </c>
      <c r="F125" s="6" t="n">
        <v>21</v>
      </c>
      <c r="G125" s="14" t="n">
        <v>13</v>
      </c>
      <c r="H125" s="16" t="b">
        <v>1</v>
      </c>
      <c r="I125" s="7" t="b">
        <v>0</v>
      </c>
      <c r="J125" s="7" t="b">
        <v>0</v>
      </c>
      <c r="K125" s="7" t="b">
        <v>0</v>
      </c>
      <c r="L125" s="6" t="n">
        <v>26</v>
      </c>
      <c r="M125" s="6" t="n">
        <v>34.6</v>
      </c>
      <c r="N125" s="6" t="n">
        <v>1</v>
      </c>
      <c r="O125" s="7" t="b">
        <v>0</v>
      </c>
      <c r="P125" s="7" t="b">
        <v>0</v>
      </c>
      <c r="Q125" s="7" t="b">
        <v>0</v>
      </c>
      <c r="R125" s="7" t="b">
        <v>0</v>
      </c>
      <c r="S125" s="7" t="b">
        <v>0</v>
      </c>
      <c r="T125" s="7" t="b">
        <v>0</v>
      </c>
      <c r="U125" s="7" t="b">
        <v>0</v>
      </c>
      <c r="V125" s="6" t="n">
        <v>0</v>
      </c>
      <c r="W125" s="17" t="n">
        <v>5</v>
      </c>
      <c r="X125" s="6" t="n">
        <v>0.35</v>
      </c>
      <c r="Y125" s="6" t="n">
        <v>9.03</v>
      </c>
      <c r="Z125" s="6" t="n">
        <f aca="false">(Y125*7.5006157584566)/X125</f>
        <v>193.51588656818</v>
      </c>
      <c r="AA125" s="6" t="n">
        <v>364</v>
      </c>
      <c r="AB125" s="6" t="n">
        <v>1019</v>
      </c>
      <c r="AC125" s="6" t="n">
        <v>19.1</v>
      </c>
      <c r="AD125" s="6" t="n">
        <v>37.9</v>
      </c>
      <c r="AE125" s="7" t="b">
        <v>0</v>
      </c>
      <c r="AF125" s="7" t="b">
        <v>0</v>
      </c>
      <c r="AG125" s="7" t="b">
        <v>0</v>
      </c>
      <c r="AH125" s="7" t="b">
        <v>1</v>
      </c>
      <c r="AI125" s="7" t="b">
        <v>0</v>
      </c>
      <c r="AJ125" s="7" t="b">
        <v>1</v>
      </c>
      <c r="AKX125" s="0"/>
      <c r="AKY125" s="0"/>
      <c r="AKZ125" s="0"/>
      <c r="ALA125" s="0"/>
      <c r="ALB125" s="0"/>
      <c r="ALC125" s="0"/>
      <c r="ALD125" s="0"/>
      <c r="ALE125" s="0"/>
      <c r="ALF125" s="0"/>
      <c r="ALG125" s="0"/>
      <c r="ALH125" s="0"/>
      <c r="ALI125" s="0"/>
      <c r="ALJ125" s="0"/>
      <c r="ALK125" s="0"/>
      <c r="ALL125" s="0"/>
      <c r="ALM125" s="0"/>
      <c r="ALN125" s="0"/>
      <c r="ALO125" s="0"/>
      <c r="ALP125" s="0"/>
      <c r="ALQ125" s="0"/>
      <c r="ALR125" s="0"/>
      <c r="ALS125" s="0"/>
      <c r="ALT125" s="0"/>
      <c r="ALU125" s="0"/>
      <c r="ALV125" s="0"/>
      <c r="ALW125" s="0"/>
      <c r="ALX125" s="0"/>
      <c r="ALY125" s="0"/>
      <c r="ALZ125" s="0"/>
      <c r="AMA125" s="0"/>
      <c r="AMB125" s="0"/>
      <c r="AMC125" s="0"/>
      <c r="AMD125" s="0"/>
      <c r="AME125" s="0"/>
      <c r="AMF125" s="0"/>
      <c r="AMG125" s="0"/>
      <c r="AMH125" s="0"/>
      <c r="AMI125" s="0"/>
      <c r="AMJ125" s="0"/>
    </row>
    <row r="126" s="14" customFormat="true" ht="12.8" hidden="false" customHeight="false" outlineLevel="0" collapsed="false">
      <c r="A126" s="19" t="n">
        <v>69</v>
      </c>
      <c r="B126" s="6" t="n">
        <v>2</v>
      </c>
      <c r="C126" s="7" t="b">
        <v>0</v>
      </c>
      <c r="D126" s="7" t="b">
        <v>0</v>
      </c>
      <c r="E126" s="7" t="b">
        <v>0</v>
      </c>
      <c r="F126" s="6" t="n">
        <v>10</v>
      </c>
      <c r="G126" s="14" t="n">
        <v>3</v>
      </c>
      <c r="H126" s="16" t="b">
        <v>0</v>
      </c>
      <c r="I126" s="7" t="b">
        <v>0</v>
      </c>
      <c r="J126" s="7" t="b">
        <v>0</v>
      </c>
      <c r="K126" s="7" t="b">
        <v>1</v>
      </c>
      <c r="L126" s="6" t="n">
        <v>66</v>
      </c>
      <c r="M126" s="6" t="n">
        <v>40.9</v>
      </c>
      <c r="N126" s="6" t="n">
        <v>0</v>
      </c>
      <c r="O126" s="7" t="b">
        <v>0</v>
      </c>
      <c r="P126" s="7" t="b">
        <v>0</v>
      </c>
      <c r="Q126" s="7" t="b">
        <v>0</v>
      </c>
      <c r="R126" s="7" t="b">
        <v>0</v>
      </c>
      <c r="S126" s="7" t="b">
        <v>0</v>
      </c>
      <c r="T126" s="7" t="b">
        <v>0</v>
      </c>
      <c r="U126" s="7" t="b">
        <v>0</v>
      </c>
      <c r="V126" s="6" t="n">
        <v>0</v>
      </c>
      <c r="W126" s="17" t="n">
        <v>8</v>
      </c>
      <c r="X126" s="6" t="n">
        <v>0.3</v>
      </c>
      <c r="Y126" s="6" t="n">
        <v>9.36</v>
      </c>
      <c r="Z126" s="6" t="n">
        <f aca="false">(Y126*7.5006157584566)/X126</f>
        <v>234.019211663846</v>
      </c>
      <c r="AA126" s="6" t="n">
        <v>110</v>
      </c>
      <c r="AB126" s="6" t="n">
        <v>713</v>
      </c>
      <c r="AC126" s="6" t="n">
        <v>2.04</v>
      </c>
      <c r="AD126" s="6" t="n">
        <v>37.1</v>
      </c>
      <c r="AE126" s="7" t="b">
        <v>0</v>
      </c>
      <c r="AF126" s="7" t="b">
        <v>0</v>
      </c>
      <c r="AG126" s="7" t="b">
        <v>0</v>
      </c>
      <c r="AH126" s="7" t="b">
        <v>0</v>
      </c>
      <c r="AI126" s="7" t="b">
        <v>1</v>
      </c>
      <c r="AJ126" s="7" t="b">
        <v>1</v>
      </c>
      <c r="AKX126" s="0"/>
      <c r="AKY126" s="0"/>
      <c r="AKZ126" s="0"/>
      <c r="ALA126" s="0"/>
      <c r="ALB126" s="0"/>
      <c r="ALC126" s="0"/>
      <c r="ALD126" s="0"/>
      <c r="ALE126" s="0"/>
      <c r="ALF126" s="0"/>
      <c r="ALG126" s="0"/>
      <c r="ALH126" s="0"/>
      <c r="ALI126" s="0"/>
      <c r="ALJ126" s="0"/>
      <c r="ALK126" s="0"/>
      <c r="ALL126" s="0"/>
      <c r="ALM126" s="0"/>
      <c r="ALN126" s="0"/>
      <c r="ALO126" s="0"/>
      <c r="ALP126" s="0"/>
      <c r="ALQ126" s="0"/>
      <c r="ALR126" s="0"/>
      <c r="ALS126" s="0"/>
      <c r="ALT126" s="0"/>
      <c r="ALU126" s="0"/>
      <c r="ALV126" s="0"/>
      <c r="ALW126" s="0"/>
      <c r="ALX126" s="0"/>
      <c r="ALY126" s="0"/>
      <c r="ALZ126" s="0"/>
      <c r="AMA126" s="0"/>
      <c r="AMB126" s="0"/>
      <c r="AMC126" s="0"/>
      <c r="AMD126" s="0"/>
      <c r="AME126" s="0"/>
      <c r="AMF126" s="0"/>
      <c r="AMG126" s="0"/>
      <c r="AMH126" s="0"/>
      <c r="AMI126" s="0"/>
      <c r="AMJ126" s="0"/>
    </row>
    <row r="127" s="14" customFormat="true" ht="12.8" hidden="false" customHeight="false" outlineLevel="0" collapsed="false">
      <c r="A127" s="19" t="n">
        <v>70</v>
      </c>
      <c r="B127" s="6" t="n">
        <v>2</v>
      </c>
      <c r="C127" s="7" t="b">
        <v>0</v>
      </c>
      <c r="D127" s="7" t="b">
        <v>0</v>
      </c>
      <c r="E127" s="7" t="b">
        <v>0</v>
      </c>
      <c r="F127" s="6" t="n">
        <v>10</v>
      </c>
      <c r="G127" s="14" t="n">
        <v>5</v>
      </c>
      <c r="H127" s="16" t="b">
        <v>1</v>
      </c>
      <c r="I127" s="7" t="b">
        <v>0</v>
      </c>
      <c r="J127" s="7" t="b">
        <v>0</v>
      </c>
      <c r="K127" s="7" t="b">
        <v>0</v>
      </c>
      <c r="L127" s="6" t="n">
        <v>25</v>
      </c>
      <c r="M127" s="6" t="n">
        <v>29.3</v>
      </c>
      <c r="N127" s="6" t="n">
        <v>1</v>
      </c>
      <c r="O127" s="7" t="b">
        <v>0</v>
      </c>
      <c r="P127" s="7" t="b">
        <v>0</v>
      </c>
      <c r="Q127" s="7" t="b">
        <v>0</v>
      </c>
      <c r="R127" s="7" t="b">
        <v>0</v>
      </c>
      <c r="S127" s="7" t="b">
        <v>0</v>
      </c>
      <c r="T127" s="7" t="b">
        <v>0</v>
      </c>
      <c r="U127" s="7" t="b">
        <v>0</v>
      </c>
      <c r="V127" s="6" t="n">
        <v>0</v>
      </c>
      <c r="W127" s="17" t="n">
        <v>8</v>
      </c>
      <c r="X127" s="6" t="n">
        <v>0.24</v>
      </c>
      <c r="Y127" s="6" t="n">
        <v>9.23</v>
      </c>
      <c r="Z127" s="6" t="n">
        <f aca="false">(Y127*7.5006157584566)/X127</f>
        <v>288.461181043977</v>
      </c>
      <c r="AA127" s="6" t="n">
        <v>115</v>
      </c>
      <c r="AB127" s="6" t="n">
        <v>825</v>
      </c>
      <c r="AC127" s="6" t="n">
        <v>8.58</v>
      </c>
      <c r="AD127" s="6" t="n">
        <v>37.2</v>
      </c>
      <c r="AE127" s="7" t="b">
        <v>0</v>
      </c>
      <c r="AF127" s="7" t="b">
        <v>0</v>
      </c>
      <c r="AG127" s="7" t="b">
        <v>0</v>
      </c>
      <c r="AH127" s="7" t="b">
        <v>0</v>
      </c>
      <c r="AI127" s="7" t="b">
        <v>0</v>
      </c>
      <c r="AJ127" s="7" t="b">
        <v>1</v>
      </c>
      <c r="AKX127" s="0"/>
      <c r="AKY127" s="0"/>
      <c r="AKZ127" s="0"/>
      <c r="ALA127" s="0"/>
      <c r="ALB127" s="0"/>
      <c r="ALC127" s="0"/>
      <c r="ALD127" s="0"/>
      <c r="ALE127" s="0"/>
      <c r="ALF127" s="0"/>
      <c r="ALG127" s="0"/>
      <c r="ALH127" s="0"/>
      <c r="ALI127" s="0"/>
      <c r="ALJ127" s="0"/>
      <c r="ALK127" s="0"/>
      <c r="ALL127" s="0"/>
      <c r="ALM127" s="0"/>
      <c r="ALN127" s="0"/>
      <c r="ALO127" s="0"/>
      <c r="ALP127" s="0"/>
      <c r="ALQ127" s="0"/>
      <c r="ALR127" s="0"/>
      <c r="ALS127" s="0"/>
      <c r="ALT127" s="0"/>
      <c r="ALU127" s="0"/>
      <c r="ALV127" s="0"/>
      <c r="ALW127" s="0"/>
      <c r="ALX127" s="0"/>
      <c r="ALY127" s="0"/>
      <c r="ALZ127" s="0"/>
      <c r="AMA127" s="0"/>
      <c r="AMB127" s="0"/>
      <c r="AMC127" s="0"/>
      <c r="AMD127" s="0"/>
      <c r="AME127" s="0"/>
      <c r="AMF127" s="0"/>
      <c r="AMG127" s="0"/>
      <c r="AMH127" s="0"/>
      <c r="AMI127" s="0"/>
      <c r="AMJ127" s="0"/>
    </row>
    <row r="128" s="14" customFormat="true" ht="12.8" hidden="false" customHeight="false" outlineLevel="0" collapsed="false">
      <c r="A128" s="19" t="n">
        <v>73</v>
      </c>
      <c r="B128" s="6" t="n">
        <v>2</v>
      </c>
      <c r="C128" s="7" t="b">
        <v>0</v>
      </c>
      <c r="D128" s="7" t="b">
        <v>0</v>
      </c>
      <c r="E128" s="7" t="b">
        <v>0</v>
      </c>
      <c r="F128" s="6" t="n">
        <v>36</v>
      </c>
      <c r="G128" s="14" t="n">
        <v>22</v>
      </c>
      <c r="H128" s="16" t="b">
        <v>0</v>
      </c>
      <c r="I128" s="7"/>
      <c r="J128" s="7"/>
      <c r="K128" s="7" t="b">
        <v>0</v>
      </c>
      <c r="L128" s="6" t="n">
        <v>37</v>
      </c>
      <c r="M128" s="6" t="n">
        <v>27.8</v>
      </c>
      <c r="N128" s="6" t="n">
        <v>4</v>
      </c>
      <c r="O128" s="7" t="b">
        <v>0</v>
      </c>
      <c r="P128" s="7" t="b">
        <v>0</v>
      </c>
      <c r="Q128" s="7" t="b">
        <v>0</v>
      </c>
      <c r="R128" s="7" t="b">
        <v>0</v>
      </c>
      <c r="S128" s="7" t="b">
        <v>0</v>
      </c>
      <c r="T128" s="7" t="b">
        <v>0</v>
      </c>
      <c r="U128" s="7" t="b">
        <v>0</v>
      </c>
      <c r="V128" s="6" t="n">
        <v>0</v>
      </c>
      <c r="W128" s="17" t="n">
        <v>10</v>
      </c>
      <c r="X128" s="6" t="n">
        <v>0.25</v>
      </c>
      <c r="Y128" s="6" t="n">
        <v>8.9</v>
      </c>
      <c r="Z128" s="6" t="n">
        <f aca="false">(Y128*7.5006157584566)/X128</f>
        <v>267.021921001055</v>
      </c>
      <c r="AA128" s="6" t="n">
        <v>398</v>
      </c>
      <c r="AB128" s="6" t="n">
        <v>626</v>
      </c>
      <c r="AC128" s="6" t="n">
        <v>28.72</v>
      </c>
      <c r="AD128" s="6" t="n">
        <v>38.9</v>
      </c>
      <c r="AE128" s="7" t="b">
        <v>1</v>
      </c>
      <c r="AF128" s="7" t="b">
        <v>0</v>
      </c>
      <c r="AG128" s="7" t="b">
        <v>0</v>
      </c>
      <c r="AH128" s="7" t="b">
        <v>0</v>
      </c>
      <c r="AI128" s="7" t="b">
        <v>1</v>
      </c>
      <c r="AJ128" s="7" t="b">
        <v>1</v>
      </c>
      <c r="AKX128" s="0"/>
      <c r="AKY128" s="0"/>
      <c r="AKZ128" s="0"/>
      <c r="ALA128" s="0"/>
      <c r="ALB128" s="0"/>
      <c r="ALC128" s="0"/>
      <c r="ALD128" s="0"/>
      <c r="ALE128" s="0"/>
      <c r="ALF128" s="0"/>
      <c r="ALG128" s="0"/>
      <c r="ALH128" s="0"/>
      <c r="ALI128" s="0"/>
      <c r="ALJ128" s="0"/>
      <c r="ALK128" s="0"/>
      <c r="ALL128" s="0"/>
      <c r="ALM128" s="0"/>
      <c r="ALN128" s="0"/>
      <c r="ALO128" s="0"/>
      <c r="ALP128" s="0"/>
      <c r="ALQ128" s="0"/>
      <c r="ALR128" s="0"/>
      <c r="ALS128" s="0"/>
      <c r="ALT128" s="0"/>
      <c r="ALU128" s="0"/>
      <c r="ALV128" s="0"/>
      <c r="ALW128" s="0"/>
      <c r="ALX128" s="0"/>
      <c r="ALY128" s="0"/>
      <c r="ALZ128" s="0"/>
      <c r="AMA128" s="0"/>
      <c r="AMB128" s="0"/>
      <c r="AMC128" s="0"/>
      <c r="AMD128" s="0"/>
      <c r="AME128" s="0"/>
      <c r="AMF128" s="0"/>
      <c r="AMG128" s="0"/>
      <c r="AMH128" s="0"/>
      <c r="AMI128" s="0"/>
      <c r="AMJ128" s="0"/>
    </row>
    <row r="129" s="14" customFormat="true" ht="12.8" hidden="false" customHeight="false" outlineLevel="0" collapsed="false">
      <c r="A129" s="19" t="n">
        <v>74</v>
      </c>
      <c r="B129" s="6" t="n">
        <v>2</v>
      </c>
      <c r="C129" s="7" t="b">
        <v>0</v>
      </c>
      <c r="D129" s="7" t="b">
        <v>0</v>
      </c>
      <c r="E129" s="7" t="b">
        <v>0</v>
      </c>
      <c r="F129" s="6" t="n">
        <v>16</v>
      </c>
      <c r="G129" s="14" t="n">
        <v>9</v>
      </c>
      <c r="H129" s="16" t="b">
        <v>0</v>
      </c>
      <c r="I129" s="7"/>
      <c r="J129" s="7"/>
      <c r="K129" s="7" t="b">
        <v>0</v>
      </c>
      <c r="L129" s="6" t="n">
        <v>51</v>
      </c>
      <c r="M129" s="6" t="n">
        <v>27.8</v>
      </c>
      <c r="N129" s="6" t="n">
        <v>1</v>
      </c>
      <c r="O129" s="7" t="b">
        <v>0</v>
      </c>
      <c r="P129" s="7" t="b">
        <v>1</v>
      </c>
      <c r="Q129" s="7" t="b">
        <v>0</v>
      </c>
      <c r="R129" s="7" t="b">
        <v>0</v>
      </c>
      <c r="S129" s="7" t="b">
        <v>0</v>
      </c>
      <c r="T129" s="7" t="b">
        <v>0</v>
      </c>
      <c r="U129" s="7" t="b">
        <v>0</v>
      </c>
      <c r="V129" s="6" t="n">
        <v>1</v>
      </c>
      <c r="W129" s="17" t="n">
        <v>8</v>
      </c>
      <c r="X129" s="6" t="n">
        <v>0.35</v>
      </c>
      <c r="Y129" s="6" t="n">
        <v>9.9</v>
      </c>
      <c r="Z129" s="6" t="n">
        <f aca="false">(Y129*7.5006157584566)/X129</f>
        <v>212.16027431063</v>
      </c>
      <c r="AA129" s="6" t="n">
        <v>120</v>
      </c>
      <c r="AB129" s="6" t="n">
        <v>418</v>
      </c>
      <c r="AC129" s="6" t="n">
        <v>6.58</v>
      </c>
      <c r="AD129" s="6" t="n">
        <v>37.8</v>
      </c>
      <c r="AE129" s="7" t="b">
        <v>0</v>
      </c>
      <c r="AF129" s="7" t="b">
        <v>0</v>
      </c>
      <c r="AG129" s="7" t="b">
        <v>0</v>
      </c>
      <c r="AH129" s="7" t="b">
        <v>0</v>
      </c>
      <c r="AI129" s="7" t="b">
        <v>0</v>
      </c>
      <c r="AJ129" s="7" t="b">
        <v>1</v>
      </c>
      <c r="AKX129" s="0"/>
      <c r="AKY129" s="0"/>
      <c r="AKZ129" s="0"/>
      <c r="ALA129" s="0"/>
      <c r="ALB129" s="0"/>
      <c r="ALC129" s="0"/>
      <c r="ALD129" s="0"/>
      <c r="ALE129" s="0"/>
      <c r="ALF129" s="0"/>
      <c r="ALG129" s="0"/>
      <c r="ALH129" s="0"/>
      <c r="ALI129" s="0"/>
      <c r="ALJ129" s="0"/>
      <c r="ALK129" s="0"/>
      <c r="ALL129" s="0"/>
      <c r="ALM129" s="0"/>
      <c r="ALN129" s="0"/>
      <c r="ALO129" s="0"/>
      <c r="ALP129" s="0"/>
      <c r="ALQ129" s="0"/>
      <c r="ALR129" s="0"/>
      <c r="ALS129" s="0"/>
      <c r="ALT129" s="0"/>
      <c r="ALU129" s="0"/>
      <c r="ALV129" s="0"/>
      <c r="ALW129" s="0"/>
      <c r="ALX129" s="0"/>
      <c r="ALY129" s="0"/>
      <c r="ALZ129" s="0"/>
      <c r="AMA129" s="0"/>
      <c r="AMB129" s="0"/>
      <c r="AMC129" s="0"/>
      <c r="AMD129" s="0"/>
      <c r="AME129" s="0"/>
      <c r="AMF129" s="0"/>
      <c r="AMG129" s="0"/>
      <c r="AMH129" s="0"/>
      <c r="AMI129" s="0"/>
      <c r="AMJ129" s="0"/>
    </row>
    <row r="130" s="14" customFormat="true" ht="12.8" hidden="false" customHeight="false" outlineLevel="0" collapsed="false">
      <c r="A130" s="19" t="n">
        <v>75</v>
      </c>
      <c r="B130" s="6" t="n">
        <v>2</v>
      </c>
      <c r="C130" s="7" t="b">
        <v>0</v>
      </c>
      <c r="D130" s="7" t="b">
        <v>0</v>
      </c>
      <c r="E130" s="7" t="b">
        <v>0</v>
      </c>
      <c r="F130" s="6" t="n">
        <v>9</v>
      </c>
      <c r="G130" s="14" t="n">
        <v>4</v>
      </c>
      <c r="H130" s="16" t="b">
        <v>0</v>
      </c>
      <c r="I130" s="7"/>
      <c r="J130" s="7"/>
      <c r="K130" s="7" t="b">
        <v>1</v>
      </c>
      <c r="L130" s="6" t="n">
        <v>57</v>
      </c>
      <c r="M130" s="6" t="n">
        <v>22.9</v>
      </c>
      <c r="N130" s="6" t="n">
        <v>2</v>
      </c>
      <c r="O130" s="7" t="b">
        <v>0</v>
      </c>
      <c r="P130" s="7" t="b">
        <v>0</v>
      </c>
      <c r="Q130" s="7" t="b">
        <v>0</v>
      </c>
      <c r="R130" s="7" t="b">
        <v>0</v>
      </c>
      <c r="S130" s="7" t="b">
        <v>0</v>
      </c>
      <c r="T130" s="7" t="b">
        <v>0</v>
      </c>
      <c r="U130" s="7" t="b">
        <v>0</v>
      </c>
      <c r="V130" s="6" t="n">
        <v>0</v>
      </c>
      <c r="W130" s="17" t="n">
        <v>5</v>
      </c>
      <c r="X130" s="6" t="n">
        <v>0.3</v>
      </c>
      <c r="Y130" s="6" t="n">
        <v>11.4</v>
      </c>
      <c r="Z130" s="6" t="n">
        <f aca="false">(Y130*7.5006157584566)/X130</f>
        <v>285.023398821351</v>
      </c>
      <c r="AA130" s="6" t="n">
        <v>58</v>
      </c>
      <c r="AB130" s="6" t="n">
        <v>606</v>
      </c>
      <c r="AC130" s="6" t="n">
        <v>2.78</v>
      </c>
      <c r="AD130" s="6" t="n">
        <v>37.8</v>
      </c>
      <c r="AE130" s="7" t="b">
        <v>0</v>
      </c>
      <c r="AF130" s="7" t="b">
        <v>0</v>
      </c>
      <c r="AG130" s="7" t="b">
        <v>0</v>
      </c>
      <c r="AH130" s="7" t="b">
        <v>0</v>
      </c>
      <c r="AI130" s="7" t="b">
        <v>0</v>
      </c>
      <c r="AJ130" s="7" t="b">
        <v>1</v>
      </c>
      <c r="AKX130" s="0"/>
      <c r="AKY130" s="0"/>
      <c r="AKZ130" s="0"/>
      <c r="ALA130" s="0"/>
      <c r="ALB130" s="0"/>
      <c r="ALC130" s="0"/>
      <c r="ALD130" s="0"/>
      <c r="ALE130" s="0"/>
      <c r="ALF130" s="0"/>
      <c r="ALG130" s="0"/>
      <c r="ALH130" s="0"/>
      <c r="ALI130" s="0"/>
      <c r="ALJ130" s="0"/>
      <c r="ALK130" s="0"/>
      <c r="ALL130" s="0"/>
      <c r="ALM130" s="0"/>
      <c r="ALN130" s="0"/>
      <c r="ALO130" s="0"/>
      <c r="ALP130" s="0"/>
      <c r="ALQ130" s="0"/>
      <c r="ALR130" s="0"/>
      <c r="ALS130" s="0"/>
      <c r="ALT130" s="0"/>
      <c r="ALU130" s="0"/>
      <c r="ALV130" s="0"/>
      <c r="ALW130" s="0"/>
      <c r="ALX130" s="0"/>
      <c r="ALY130" s="0"/>
      <c r="ALZ130" s="0"/>
      <c r="AMA130" s="0"/>
      <c r="AMB130" s="0"/>
      <c r="AMC130" s="0"/>
      <c r="AMD130" s="0"/>
      <c r="AME130" s="0"/>
      <c r="AMF130" s="0"/>
      <c r="AMG130" s="0"/>
      <c r="AMH130" s="0"/>
      <c r="AMI130" s="0"/>
      <c r="AMJ130" s="0"/>
    </row>
    <row r="131" s="14" customFormat="true" ht="12.8" hidden="false" customHeight="false" outlineLevel="0" collapsed="false">
      <c r="A131" s="19" t="n">
        <v>76</v>
      </c>
      <c r="B131" s="6" t="n">
        <v>2</v>
      </c>
      <c r="C131" s="7" t="b">
        <v>0</v>
      </c>
      <c r="D131" s="7" t="b">
        <v>0</v>
      </c>
      <c r="E131" s="7" t="b">
        <v>0</v>
      </c>
      <c r="F131" s="6" t="n">
        <v>13</v>
      </c>
      <c r="G131" s="14" t="n">
        <v>7</v>
      </c>
      <c r="H131" s="16" t="b">
        <v>0</v>
      </c>
      <c r="I131" s="7"/>
      <c r="J131" s="7"/>
      <c r="K131" s="7" t="b">
        <v>1</v>
      </c>
      <c r="L131" s="6" t="n">
        <v>59</v>
      </c>
      <c r="M131" s="6" t="n">
        <v>28.2</v>
      </c>
      <c r="N131" s="6" t="n">
        <v>0</v>
      </c>
      <c r="O131" s="7" t="b">
        <v>0</v>
      </c>
      <c r="P131" s="7" t="b">
        <v>0</v>
      </c>
      <c r="Q131" s="7" t="b">
        <v>0</v>
      </c>
      <c r="R131" s="7" t="b">
        <v>0</v>
      </c>
      <c r="S131" s="7" t="b">
        <v>0</v>
      </c>
      <c r="T131" s="7" t="b">
        <v>0</v>
      </c>
      <c r="U131" s="7" t="b">
        <v>0</v>
      </c>
      <c r="V131" s="6" t="n">
        <v>0</v>
      </c>
      <c r="W131" s="17" t="n">
        <v>5</v>
      </c>
      <c r="X131" s="6" t="n">
        <v>0.28</v>
      </c>
      <c r="Y131" s="6" t="n">
        <v>9.8</v>
      </c>
      <c r="Z131" s="6" t="n">
        <f aca="false">(Y131*7.5006157584566)/X131</f>
        <v>262.521551545981</v>
      </c>
      <c r="AA131" s="6" t="n">
        <v>46</v>
      </c>
      <c r="AB131" s="6" t="n">
        <v>1115</v>
      </c>
      <c r="AC131" s="6" t="n">
        <v>1.76</v>
      </c>
      <c r="AD131" s="6" t="n">
        <v>37.4</v>
      </c>
      <c r="AE131" s="7" t="b">
        <v>0</v>
      </c>
      <c r="AF131" s="7" t="b">
        <v>0</v>
      </c>
      <c r="AG131" s="7" t="b">
        <v>0</v>
      </c>
      <c r="AH131" s="7" t="b">
        <v>0</v>
      </c>
      <c r="AI131" s="7" t="b">
        <v>1</v>
      </c>
      <c r="AJ131" s="7" t="b">
        <v>1</v>
      </c>
      <c r="AKX131" s="0"/>
      <c r="AKY131" s="0"/>
      <c r="AKZ131" s="0"/>
      <c r="ALA131" s="0"/>
      <c r="ALB131" s="0"/>
      <c r="ALC131" s="0"/>
      <c r="ALD131" s="0"/>
      <c r="ALE131" s="0"/>
      <c r="ALF131" s="0"/>
      <c r="ALG131" s="0"/>
      <c r="ALH131" s="0"/>
      <c r="ALI131" s="0"/>
      <c r="ALJ131" s="0"/>
      <c r="ALK131" s="0"/>
      <c r="ALL131" s="0"/>
      <c r="ALM131" s="0"/>
      <c r="ALN131" s="0"/>
      <c r="ALO131" s="0"/>
      <c r="ALP131" s="0"/>
      <c r="ALQ131" s="0"/>
      <c r="ALR131" s="0"/>
      <c r="ALS131" s="0"/>
      <c r="ALT131" s="0"/>
      <c r="ALU131" s="0"/>
      <c r="ALV131" s="0"/>
      <c r="ALW131" s="0"/>
      <c r="ALX131" s="0"/>
      <c r="ALY131" s="0"/>
      <c r="ALZ131" s="0"/>
      <c r="AMA131" s="0"/>
      <c r="AMB131" s="0"/>
      <c r="AMC131" s="0"/>
      <c r="AMD131" s="0"/>
      <c r="AME131" s="0"/>
      <c r="AMF131" s="0"/>
      <c r="AMG131" s="0"/>
      <c r="AMH131" s="0"/>
      <c r="AMI131" s="0"/>
      <c r="AMJ131" s="0"/>
    </row>
    <row r="132" s="14" customFormat="true" ht="12.8" hidden="false" customHeight="false" outlineLevel="0" collapsed="false">
      <c r="A132" s="19" t="n">
        <v>77</v>
      </c>
      <c r="B132" s="6" t="n">
        <v>2</v>
      </c>
      <c r="C132" s="7" t="b">
        <v>0</v>
      </c>
      <c r="D132" s="7" t="b">
        <v>0</v>
      </c>
      <c r="E132" s="7" t="b">
        <v>0</v>
      </c>
      <c r="F132" s="6" t="n">
        <v>13</v>
      </c>
      <c r="G132" s="14" t="n">
        <v>2</v>
      </c>
      <c r="H132" s="16" t="b">
        <v>0</v>
      </c>
      <c r="I132" s="7"/>
      <c r="J132" s="7"/>
      <c r="K132" s="7" t="b">
        <v>0</v>
      </c>
      <c r="L132" s="6" t="n">
        <v>47</v>
      </c>
      <c r="M132" s="6" t="n">
        <v>24</v>
      </c>
      <c r="N132" s="6" t="n">
        <v>0</v>
      </c>
      <c r="O132" s="7" t="b">
        <v>0</v>
      </c>
      <c r="P132" s="7" t="b">
        <v>0</v>
      </c>
      <c r="Q132" s="7" t="b">
        <v>0</v>
      </c>
      <c r="R132" s="7" t="b">
        <v>0</v>
      </c>
      <c r="S132" s="7" t="b">
        <v>0</v>
      </c>
      <c r="T132" s="7" t="b">
        <v>0</v>
      </c>
      <c r="U132" s="7" t="b">
        <v>0</v>
      </c>
      <c r="V132" s="6" t="n">
        <v>0</v>
      </c>
      <c r="W132" s="17" t="n">
        <v>8</v>
      </c>
      <c r="X132" s="6" t="n">
        <v>0.24</v>
      </c>
      <c r="Y132" s="6" t="n">
        <v>8.26</v>
      </c>
      <c r="Z132" s="6" t="n">
        <f aca="false">(Y132*7.5006157584566)/X132</f>
        <v>258.146192353548</v>
      </c>
      <c r="AA132" s="6" t="n">
        <v>188</v>
      </c>
      <c r="AB132" s="6" t="n">
        <v>1227</v>
      </c>
      <c r="AC132" s="6" t="n">
        <v>4.34</v>
      </c>
      <c r="AD132" s="6" t="n">
        <v>37.2</v>
      </c>
      <c r="AE132" s="7" t="b">
        <v>0</v>
      </c>
      <c r="AF132" s="7" t="b">
        <v>0</v>
      </c>
      <c r="AG132" s="7" t="b">
        <v>0</v>
      </c>
      <c r="AH132" s="7" t="b">
        <v>0</v>
      </c>
      <c r="AI132" s="7" t="b">
        <v>0</v>
      </c>
      <c r="AJ132" s="7" t="b">
        <v>1</v>
      </c>
      <c r="AKX132" s="0"/>
      <c r="AKY132" s="0"/>
      <c r="AKZ132" s="0"/>
      <c r="ALA132" s="0"/>
      <c r="ALB132" s="0"/>
      <c r="ALC132" s="0"/>
      <c r="ALD132" s="0"/>
      <c r="ALE132" s="0"/>
      <c r="ALF132" s="0"/>
      <c r="ALG132" s="0"/>
      <c r="ALH132" s="0"/>
      <c r="ALI132" s="0"/>
      <c r="ALJ132" s="0"/>
      <c r="ALK132" s="0"/>
      <c r="ALL132" s="0"/>
      <c r="ALM132" s="0"/>
      <c r="ALN132" s="0"/>
      <c r="ALO132" s="0"/>
      <c r="ALP132" s="0"/>
      <c r="ALQ132" s="0"/>
      <c r="ALR132" s="0"/>
      <c r="ALS132" s="0"/>
      <c r="ALT132" s="0"/>
      <c r="ALU132" s="0"/>
      <c r="ALV132" s="0"/>
      <c r="ALW132" s="0"/>
      <c r="ALX132" s="0"/>
      <c r="ALY132" s="0"/>
      <c r="ALZ132" s="0"/>
      <c r="AMA132" s="0"/>
      <c r="AMB132" s="0"/>
      <c r="AMC132" s="0"/>
      <c r="AMD132" s="0"/>
      <c r="AME132" s="0"/>
      <c r="AMF132" s="0"/>
      <c r="AMG132" s="0"/>
      <c r="AMH132" s="0"/>
      <c r="AMI132" s="0"/>
      <c r="AMJ132" s="0"/>
    </row>
    <row r="133" s="14" customFormat="true" ht="12.8" hidden="false" customHeight="false" outlineLevel="0" collapsed="false">
      <c r="A133" s="19" t="n">
        <v>78</v>
      </c>
      <c r="B133" s="6" t="n">
        <v>2</v>
      </c>
      <c r="C133" s="7" t="b">
        <v>0</v>
      </c>
      <c r="D133" s="7" t="b">
        <v>0</v>
      </c>
      <c r="E133" s="7" t="b">
        <v>0</v>
      </c>
      <c r="F133" s="6" t="n">
        <v>34</v>
      </c>
      <c r="G133" s="14" t="n">
        <v>7</v>
      </c>
      <c r="H133" s="16" t="b">
        <v>0</v>
      </c>
      <c r="I133" s="7"/>
      <c r="J133" s="7"/>
      <c r="K133" s="7" t="b">
        <v>1</v>
      </c>
      <c r="L133" s="6" t="n">
        <v>56</v>
      </c>
      <c r="M133" s="6" t="n">
        <v>29.4</v>
      </c>
      <c r="N133" s="6" t="n">
        <v>0</v>
      </c>
      <c r="O133" s="7" t="b">
        <v>0</v>
      </c>
      <c r="P133" s="7" t="b">
        <v>1</v>
      </c>
      <c r="Q133" s="7" t="b">
        <v>0</v>
      </c>
      <c r="R133" s="7" t="b">
        <v>0</v>
      </c>
      <c r="S133" s="7" t="b">
        <v>0</v>
      </c>
      <c r="T133" s="7" t="b">
        <v>0</v>
      </c>
      <c r="U133" s="7" t="b">
        <v>0</v>
      </c>
      <c r="V133" s="6" t="n">
        <v>0</v>
      </c>
      <c r="W133" s="17" t="n">
        <v>5</v>
      </c>
      <c r="X133" s="6" t="n">
        <v>0.25</v>
      </c>
      <c r="Y133" s="6" t="n">
        <v>8.5</v>
      </c>
      <c r="Z133" s="6" t="n">
        <f aca="false">(Y133*7.5006157584566)/X133</f>
        <v>255.020935787524</v>
      </c>
      <c r="AA133" s="6" t="n">
        <v>133</v>
      </c>
      <c r="AB133" s="6" t="n">
        <v>1831</v>
      </c>
      <c r="AC133" s="6" t="n">
        <v>14.89</v>
      </c>
      <c r="AD133" s="6" t="n">
        <v>26.6</v>
      </c>
      <c r="AE133" s="7" t="b">
        <v>0</v>
      </c>
      <c r="AF133" s="7" t="b">
        <v>0</v>
      </c>
      <c r="AG133" s="7" t="b">
        <v>0</v>
      </c>
      <c r="AH133" s="7" t="b">
        <v>0</v>
      </c>
      <c r="AI133" s="7" t="b">
        <v>0</v>
      </c>
      <c r="AJ133" s="7" t="b">
        <v>1</v>
      </c>
      <c r="AKX133" s="0"/>
      <c r="AKY133" s="0"/>
      <c r="AKZ133" s="0"/>
      <c r="ALA133" s="0"/>
      <c r="ALB133" s="0"/>
      <c r="ALC133" s="0"/>
      <c r="ALD133" s="0"/>
      <c r="ALE133" s="0"/>
      <c r="ALF133" s="0"/>
      <c r="ALG133" s="0"/>
      <c r="ALH133" s="0"/>
      <c r="ALI133" s="0"/>
      <c r="ALJ133" s="0"/>
      <c r="ALK133" s="0"/>
      <c r="ALL133" s="0"/>
      <c r="ALM133" s="0"/>
      <c r="ALN133" s="0"/>
      <c r="ALO133" s="0"/>
      <c r="ALP133" s="0"/>
      <c r="ALQ133" s="0"/>
      <c r="ALR133" s="0"/>
      <c r="ALS133" s="0"/>
      <c r="ALT133" s="0"/>
      <c r="ALU133" s="0"/>
      <c r="ALV133" s="0"/>
      <c r="ALW133" s="0"/>
      <c r="ALX133" s="0"/>
      <c r="ALY133" s="0"/>
      <c r="ALZ133" s="0"/>
      <c r="AMA133" s="0"/>
      <c r="AMB133" s="0"/>
      <c r="AMC133" s="0"/>
      <c r="AMD133" s="0"/>
      <c r="AME133" s="0"/>
      <c r="AMF133" s="0"/>
      <c r="AMG133" s="0"/>
      <c r="AMH133" s="0"/>
      <c r="AMI133" s="0"/>
      <c r="AMJ133" s="0"/>
    </row>
    <row r="134" s="14" customFormat="true" ht="12.8" hidden="false" customHeight="false" outlineLevel="0" collapsed="false">
      <c r="A134" s="19" t="n">
        <v>79</v>
      </c>
      <c r="B134" s="6" t="n">
        <v>2</v>
      </c>
      <c r="C134" s="7" t="b">
        <v>0</v>
      </c>
      <c r="D134" s="7" t="b">
        <v>0</v>
      </c>
      <c r="E134" s="7" t="b">
        <v>0</v>
      </c>
      <c r="F134" s="6" t="n">
        <v>12</v>
      </c>
      <c r="G134" s="14" t="n">
        <v>5</v>
      </c>
      <c r="H134" s="16" t="b">
        <v>0</v>
      </c>
      <c r="I134" s="7"/>
      <c r="J134" s="7"/>
      <c r="K134" s="7" t="b">
        <v>0</v>
      </c>
      <c r="L134" s="6" t="n">
        <v>56</v>
      </c>
      <c r="M134" s="6" t="n">
        <v>39.2</v>
      </c>
      <c r="N134" s="6" t="n">
        <v>0</v>
      </c>
      <c r="O134" s="7" t="b">
        <v>1</v>
      </c>
      <c r="P134" s="7" t="b">
        <v>1</v>
      </c>
      <c r="Q134" s="7" t="b">
        <v>0</v>
      </c>
      <c r="R134" s="7" t="b">
        <v>0</v>
      </c>
      <c r="S134" s="7" t="b">
        <v>0</v>
      </c>
      <c r="T134" s="7" t="b">
        <v>0</v>
      </c>
      <c r="U134" s="7" t="b">
        <v>0</v>
      </c>
      <c r="V134" s="6" t="n">
        <v>0</v>
      </c>
      <c r="W134" s="17" t="n">
        <v>7</v>
      </c>
      <c r="X134" s="6" t="n">
        <v>0.35</v>
      </c>
      <c r="Y134" s="6" t="n">
        <v>8.75</v>
      </c>
      <c r="Z134" s="6" t="n">
        <f aca="false">(Y134*7.5006157584566)/X134</f>
        <v>187.515393961415</v>
      </c>
      <c r="AA134" s="6" t="n">
        <v>76</v>
      </c>
      <c r="AB134" s="6" t="n">
        <v>492</v>
      </c>
      <c r="AC134" s="6" t="n">
        <v>7</v>
      </c>
      <c r="AD134" s="6" t="n">
        <v>38</v>
      </c>
      <c r="AE134" s="7" t="b">
        <v>0</v>
      </c>
      <c r="AF134" s="7" t="b">
        <v>0</v>
      </c>
      <c r="AG134" s="7" t="b">
        <v>0</v>
      </c>
      <c r="AH134" s="7" t="b">
        <v>0</v>
      </c>
      <c r="AI134" s="7" t="b">
        <v>1</v>
      </c>
      <c r="AJ134" s="7" t="b">
        <v>1</v>
      </c>
      <c r="AKX134" s="0"/>
      <c r="AKY134" s="0"/>
      <c r="AKZ134" s="0"/>
      <c r="ALA134" s="0"/>
      <c r="ALB134" s="0"/>
      <c r="ALC134" s="0"/>
      <c r="ALD134" s="0"/>
      <c r="ALE134" s="0"/>
      <c r="ALF134" s="0"/>
      <c r="ALG134" s="0"/>
      <c r="ALH134" s="0"/>
      <c r="ALI134" s="0"/>
      <c r="ALJ134" s="0"/>
      <c r="ALK134" s="0"/>
      <c r="ALL134" s="0"/>
      <c r="ALM134" s="0"/>
      <c r="ALN134" s="0"/>
      <c r="ALO134" s="0"/>
      <c r="ALP134" s="0"/>
      <c r="ALQ134" s="0"/>
      <c r="ALR134" s="0"/>
      <c r="ALS134" s="0"/>
      <c r="ALT134" s="0"/>
      <c r="ALU134" s="0"/>
      <c r="ALV134" s="0"/>
      <c r="ALW134" s="0"/>
      <c r="ALX134" s="0"/>
      <c r="ALY134" s="0"/>
      <c r="ALZ134" s="0"/>
      <c r="AMA134" s="0"/>
      <c r="AMB134" s="0"/>
      <c r="AMC134" s="0"/>
      <c r="AMD134" s="0"/>
      <c r="AME134" s="0"/>
      <c r="AMF134" s="0"/>
      <c r="AMG134" s="0"/>
      <c r="AMH134" s="0"/>
      <c r="AMI134" s="0"/>
      <c r="AMJ134" s="0"/>
    </row>
    <row r="135" s="14" customFormat="true" ht="12.8" hidden="false" customHeight="false" outlineLevel="0" collapsed="false">
      <c r="A135" s="19" t="n">
        <v>80</v>
      </c>
      <c r="B135" s="6" t="n">
        <v>2</v>
      </c>
      <c r="C135" s="7" t="b">
        <v>0</v>
      </c>
      <c r="D135" s="7" t="b">
        <v>0</v>
      </c>
      <c r="E135" s="7" t="b">
        <v>0</v>
      </c>
      <c r="F135" s="6" t="n">
        <v>8</v>
      </c>
      <c r="G135" s="14" t="n">
        <v>2</v>
      </c>
      <c r="H135" s="16" t="b">
        <v>0</v>
      </c>
      <c r="I135" s="7"/>
      <c r="J135" s="7"/>
      <c r="K135" s="7" t="b">
        <v>0</v>
      </c>
      <c r="L135" s="6" t="n">
        <v>60</v>
      </c>
      <c r="M135" s="6" t="n">
        <v>26.1</v>
      </c>
      <c r="N135" s="6" t="n">
        <v>0</v>
      </c>
      <c r="O135" s="7" t="b">
        <v>0</v>
      </c>
      <c r="P135" s="7" t="b">
        <v>0</v>
      </c>
      <c r="Q135" s="7" t="b">
        <v>0</v>
      </c>
      <c r="R135" s="7" t="b">
        <v>0</v>
      </c>
      <c r="S135" s="7" t="b">
        <v>0</v>
      </c>
      <c r="T135" s="7" t="b">
        <v>0</v>
      </c>
      <c r="U135" s="7" t="b">
        <v>0</v>
      </c>
      <c r="V135" s="6" t="n">
        <v>0</v>
      </c>
      <c r="W135" s="17" t="n">
        <v>5</v>
      </c>
      <c r="X135" s="6" t="n">
        <v>0.3</v>
      </c>
      <c r="Y135" s="6" t="n">
        <v>10.8</v>
      </c>
      <c r="Z135" s="6" t="n">
        <f aca="false">(Y135*7.5006157584566)/X135</f>
        <v>270.022167304438</v>
      </c>
      <c r="AA135" s="6" t="n">
        <v>10</v>
      </c>
      <c r="AB135" s="6" t="n">
        <v>1020</v>
      </c>
      <c r="AC135" s="6" t="n">
        <v>0.85</v>
      </c>
      <c r="AD135" s="6" t="n">
        <v>37</v>
      </c>
      <c r="AE135" s="7" t="b">
        <v>0</v>
      </c>
      <c r="AF135" s="7" t="b">
        <v>0</v>
      </c>
      <c r="AG135" s="7" t="b">
        <v>0</v>
      </c>
      <c r="AH135" s="7" t="b">
        <v>0</v>
      </c>
      <c r="AI135" s="7" t="b">
        <v>1</v>
      </c>
      <c r="AJ135" s="7" t="b">
        <v>1</v>
      </c>
      <c r="AKX135" s="0"/>
      <c r="AKY135" s="0"/>
      <c r="AKZ135" s="0"/>
      <c r="ALA135" s="0"/>
      <c r="ALB135" s="0"/>
      <c r="ALC135" s="0"/>
      <c r="ALD135" s="0"/>
      <c r="ALE135" s="0"/>
      <c r="ALF135" s="0"/>
      <c r="ALG135" s="0"/>
      <c r="ALH135" s="0"/>
      <c r="ALI135" s="0"/>
      <c r="ALJ135" s="0"/>
      <c r="ALK135" s="0"/>
      <c r="ALL135" s="0"/>
      <c r="ALM135" s="0"/>
      <c r="ALN135" s="0"/>
      <c r="ALO135" s="0"/>
      <c r="ALP135" s="0"/>
      <c r="ALQ135" s="0"/>
      <c r="ALR135" s="0"/>
      <c r="ALS135" s="0"/>
      <c r="ALT135" s="0"/>
      <c r="ALU135" s="0"/>
      <c r="ALV135" s="0"/>
      <c r="ALW135" s="0"/>
      <c r="ALX135" s="0"/>
      <c r="ALY135" s="0"/>
      <c r="ALZ135" s="0"/>
      <c r="AMA135" s="0"/>
      <c r="AMB135" s="0"/>
      <c r="AMC135" s="0"/>
      <c r="AMD135" s="0"/>
      <c r="AME135" s="0"/>
      <c r="AMF135" s="0"/>
      <c r="AMG135" s="0"/>
      <c r="AMH135" s="0"/>
      <c r="AMI135" s="0"/>
      <c r="AMJ135" s="0"/>
    </row>
    <row r="136" s="14" customFormat="true" ht="12.8" hidden="false" customHeight="false" outlineLevel="0" collapsed="false">
      <c r="A136" s="19" t="n">
        <v>81</v>
      </c>
      <c r="B136" s="6" t="n">
        <v>2</v>
      </c>
      <c r="C136" s="7" t="b">
        <v>0</v>
      </c>
      <c r="D136" s="7" t="b">
        <v>0</v>
      </c>
      <c r="E136" s="7" t="b">
        <v>0</v>
      </c>
      <c r="F136" s="6" t="n">
        <v>8</v>
      </c>
      <c r="G136" s="14" t="n">
        <v>4</v>
      </c>
      <c r="H136" s="16" t="b">
        <v>0</v>
      </c>
      <c r="I136" s="7"/>
      <c r="J136" s="7"/>
      <c r="K136" s="7" t="b">
        <v>0</v>
      </c>
      <c r="L136" s="6" t="n">
        <v>38</v>
      </c>
      <c r="M136" s="6" t="n">
        <v>28.4</v>
      </c>
      <c r="N136" s="6" t="n">
        <v>2</v>
      </c>
      <c r="O136" s="7" t="b">
        <v>0</v>
      </c>
      <c r="P136" s="7" t="b">
        <v>0</v>
      </c>
      <c r="Q136" s="7" t="b">
        <v>0</v>
      </c>
      <c r="R136" s="7" t="b">
        <v>0</v>
      </c>
      <c r="S136" s="7" t="b">
        <v>0</v>
      </c>
      <c r="T136" s="7" t="b">
        <v>0</v>
      </c>
      <c r="U136" s="7" t="b">
        <v>0</v>
      </c>
      <c r="V136" s="6" t="n">
        <v>0</v>
      </c>
      <c r="W136" s="17" t="n">
        <v>5</v>
      </c>
      <c r="X136" s="6" t="n">
        <v>0.28</v>
      </c>
      <c r="Y136" s="6" t="n">
        <v>9.52</v>
      </c>
      <c r="Z136" s="6" t="n">
        <f aca="false">(Y136*7.5006157584566)/X136</f>
        <v>255.020935787524</v>
      </c>
      <c r="AA136" s="6" t="n">
        <v>200</v>
      </c>
      <c r="AB136" s="6" t="n">
        <v>3155</v>
      </c>
      <c r="AC136" s="6" t="n">
        <v>0.57</v>
      </c>
      <c r="AD136" s="6" t="n">
        <v>37</v>
      </c>
      <c r="AE136" s="7" t="b">
        <v>0</v>
      </c>
      <c r="AF136" s="7" t="b">
        <v>0</v>
      </c>
      <c r="AG136" s="7" t="b">
        <v>0</v>
      </c>
      <c r="AH136" s="7" t="b">
        <v>0</v>
      </c>
      <c r="AI136" s="7" t="b">
        <v>0</v>
      </c>
      <c r="AJ136" s="7" t="b">
        <v>1</v>
      </c>
      <c r="AKX136" s="0"/>
      <c r="AKY136" s="0"/>
      <c r="AKZ136" s="0"/>
      <c r="ALA136" s="0"/>
      <c r="ALB136" s="0"/>
      <c r="ALC136" s="0"/>
      <c r="ALD136" s="0"/>
      <c r="ALE136" s="0"/>
      <c r="ALF136" s="0"/>
      <c r="ALG136" s="0"/>
      <c r="ALH136" s="0"/>
      <c r="ALI136" s="0"/>
      <c r="ALJ136" s="0"/>
      <c r="ALK136" s="0"/>
      <c r="ALL136" s="0"/>
      <c r="ALM136" s="0"/>
      <c r="ALN136" s="0"/>
      <c r="ALO136" s="0"/>
      <c r="ALP136" s="0"/>
      <c r="ALQ136" s="0"/>
      <c r="ALR136" s="0"/>
      <c r="ALS136" s="0"/>
      <c r="ALT136" s="0"/>
      <c r="ALU136" s="0"/>
      <c r="ALV136" s="0"/>
      <c r="ALW136" s="0"/>
      <c r="ALX136" s="0"/>
      <c r="ALY136" s="0"/>
      <c r="ALZ136" s="0"/>
      <c r="AMA136" s="0"/>
      <c r="AMB136" s="0"/>
      <c r="AMC136" s="0"/>
      <c r="AMD136" s="0"/>
      <c r="AME136" s="0"/>
      <c r="AMF136" s="0"/>
      <c r="AMG136" s="0"/>
      <c r="AMH136" s="0"/>
      <c r="AMI136" s="0"/>
      <c r="AMJ136" s="0"/>
    </row>
    <row r="137" s="14" customFormat="true" ht="12.8" hidden="false" customHeight="false" outlineLevel="0" collapsed="false">
      <c r="A137" s="19" t="n">
        <v>82</v>
      </c>
      <c r="B137" s="6" t="n">
        <v>2</v>
      </c>
      <c r="C137" s="7" t="b">
        <v>0</v>
      </c>
      <c r="D137" s="7" t="b">
        <v>0</v>
      </c>
      <c r="E137" s="7" t="b">
        <v>0</v>
      </c>
      <c r="F137" s="6" t="n">
        <v>17</v>
      </c>
      <c r="G137" s="14" t="n">
        <v>11</v>
      </c>
      <c r="H137" s="16" t="b">
        <v>0</v>
      </c>
      <c r="I137" s="7"/>
      <c r="J137" s="7" t="b">
        <v>0</v>
      </c>
      <c r="K137" s="7" t="b">
        <v>1</v>
      </c>
      <c r="L137" s="6" t="n">
        <v>42</v>
      </c>
      <c r="M137" s="6" t="n">
        <v>33.5</v>
      </c>
      <c r="N137" s="6" t="n">
        <v>1</v>
      </c>
      <c r="O137" s="7" t="b">
        <v>0</v>
      </c>
      <c r="P137" s="7" t="b">
        <v>1</v>
      </c>
      <c r="Q137" s="7" t="b">
        <v>0</v>
      </c>
      <c r="R137" s="7" t="b">
        <v>0</v>
      </c>
      <c r="S137" s="7" t="b">
        <v>0</v>
      </c>
      <c r="T137" s="7" t="b">
        <v>0</v>
      </c>
      <c r="U137" s="7" t="b">
        <v>0</v>
      </c>
      <c r="V137" s="6" t="n">
        <v>0</v>
      </c>
      <c r="W137" s="17" t="n">
        <v>6</v>
      </c>
      <c r="X137" s="6" t="n">
        <v>0.45</v>
      </c>
      <c r="Y137" s="6" t="n">
        <v>7.2</v>
      </c>
      <c r="Z137" s="6" t="n">
        <f aca="false">(Y137*7.5006157584566)/X137</f>
        <v>120.009852135306</v>
      </c>
      <c r="AA137" s="6" t="n">
        <v>153</v>
      </c>
      <c r="AB137" s="6" t="n">
        <v>147</v>
      </c>
      <c r="AC137" s="6" t="n">
        <v>5.16</v>
      </c>
      <c r="AD137" s="6" t="n">
        <v>37.8</v>
      </c>
      <c r="AE137" s="7" t="b">
        <v>0</v>
      </c>
      <c r="AF137" s="7" t="b">
        <v>0</v>
      </c>
      <c r="AG137" s="7" t="b">
        <v>0</v>
      </c>
      <c r="AH137" s="7" t="b">
        <v>0</v>
      </c>
      <c r="AI137" s="7" t="b">
        <v>0</v>
      </c>
      <c r="AJ137" s="7" t="b">
        <v>1</v>
      </c>
      <c r="AKX137" s="0"/>
      <c r="AKY137" s="0"/>
      <c r="AKZ137" s="0"/>
      <c r="ALA137" s="0"/>
      <c r="ALB137" s="0"/>
      <c r="ALC137" s="0"/>
      <c r="ALD137" s="0"/>
      <c r="ALE137" s="0"/>
      <c r="ALF137" s="0"/>
      <c r="ALG137" s="0"/>
      <c r="ALH137" s="0"/>
      <c r="ALI137" s="0"/>
      <c r="ALJ137" s="0"/>
      <c r="ALK137" s="0"/>
      <c r="ALL137" s="0"/>
      <c r="ALM137" s="0"/>
      <c r="ALN137" s="0"/>
      <c r="ALO137" s="0"/>
      <c r="ALP137" s="0"/>
      <c r="ALQ137" s="0"/>
      <c r="ALR137" s="0"/>
      <c r="ALS137" s="0"/>
      <c r="ALT137" s="0"/>
      <c r="ALU137" s="0"/>
      <c r="ALV137" s="0"/>
      <c r="ALW137" s="0"/>
      <c r="ALX137" s="0"/>
      <c r="ALY137" s="0"/>
      <c r="ALZ137" s="0"/>
      <c r="AMA137" s="0"/>
      <c r="AMB137" s="0"/>
      <c r="AMC137" s="0"/>
      <c r="AMD137" s="0"/>
      <c r="AME137" s="0"/>
      <c r="AMF137" s="0"/>
      <c r="AMG137" s="0"/>
      <c r="AMH137" s="0"/>
      <c r="AMI137" s="0"/>
      <c r="AMJ137" s="0"/>
    </row>
    <row r="138" s="14" customFormat="true" ht="12.8" hidden="false" customHeight="false" outlineLevel="0" collapsed="false">
      <c r="A138" s="19" t="n">
        <v>83</v>
      </c>
      <c r="B138" s="6" t="n">
        <v>2</v>
      </c>
      <c r="C138" s="7" t="b">
        <v>0</v>
      </c>
      <c r="D138" s="7" t="b">
        <v>0</v>
      </c>
      <c r="E138" s="7" t="b">
        <v>0</v>
      </c>
      <c r="F138" s="6" t="n">
        <v>32</v>
      </c>
      <c r="G138" s="14" t="n">
        <v>13</v>
      </c>
      <c r="H138" s="16" t="b">
        <v>0</v>
      </c>
      <c r="I138" s="7"/>
      <c r="J138" s="7" t="b">
        <v>0</v>
      </c>
      <c r="K138" s="7" t="b">
        <v>0</v>
      </c>
      <c r="L138" s="6" t="n">
        <v>57</v>
      </c>
      <c r="M138" s="6" t="n">
        <v>32</v>
      </c>
      <c r="N138" s="6" t="n">
        <v>4</v>
      </c>
      <c r="O138" s="7" t="b">
        <v>1</v>
      </c>
      <c r="P138" s="7" t="b">
        <v>1</v>
      </c>
      <c r="Q138" s="7" t="b">
        <v>0</v>
      </c>
      <c r="R138" s="7" t="b">
        <v>0</v>
      </c>
      <c r="S138" s="7" t="b">
        <v>0</v>
      </c>
      <c r="T138" s="7" t="b">
        <v>0</v>
      </c>
      <c r="U138" s="7" t="b">
        <v>0</v>
      </c>
      <c r="V138" s="6" t="n">
        <v>0</v>
      </c>
      <c r="W138" s="17" t="n">
        <v>6</v>
      </c>
      <c r="X138" s="6" t="n">
        <v>0.4</v>
      </c>
      <c r="Y138" s="6" t="n">
        <v>8.05</v>
      </c>
      <c r="Z138" s="6" t="n">
        <f aca="false">(Y138*7.5006157584566)/X138</f>
        <v>150.949892138939</v>
      </c>
      <c r="AA138" s="6" t="n">
        <v>88</v>
      </c>
      <c r="AB138" s="6" t="n">
        <v>1401</v>
      </c>
      <c r="AC138" s="6" t="n">
        <v>2.2</v>
      </c>
      <c r="AD138" s="6" t="n">
        <v>37</v>
      </c>
      <c r="AE138" s="7" t="b">
        <v>0</v>
      </c>
      <c r="AF138" s="7" t="b">
        <v>0</v>
      </c>
      <c r="AG138" s="7" t="b">
        <v>0</v>
      </c>
      <c r="AH138" s="7" t="b">
        <v>0</v>
      </c>
      <c r="AI138" s="7" t="b">
        <v>0</v>
      </c>
      <c r="AJ138" s="7" t="b">
        <v>1</v>
      </c>
      <c r="AKX138" s="0"/>
      <c r="AKY138" s="0"/>
      <c r="AKZ138" s="0"/>
      <c r="ALA138" s="0"/>
      <c r="ALB138" s="0"/>
      <c r="ALC138" s="0"/>
      <c r="ALD138" s="0"/>
      <c r="ALE138" s="0"/>
      <c r="ALF138" s="0"/>
      <c r="ALG138" s="0"/>
      <c r="ALH138" s="0"/>
      <c r="ALI138" s="0"/>
      <c r="ALJ138" s="0"/>
      <c r="ALK138" s="0"/>
      <c r="ALL138" s="0"/>
      <c r="ALM138" s="0"/>
      <c r="ALN138" s="0"/>
      <c r="ALO138" s="0"/>
      <c r="ALP138" s="0"/>
      <c r="ALQ138" s="0"/>
      <c r="ALR138" s="0"/>
      <c r="ALS138" s="0"/>
      <c r="ALT138" s="0"/>
      <c r="ALU138" s="0"/>
      <c r="ALV138" s="0"/>
      <c r="ALW138" s="0"/>
      <c r="ALX138" s="0"/>
      <c r="ALY138" s="0"/>
      <c r="ALZ138" s="0"/>
      <c r="AMA138" s="0"/>
      <c r="AMB138" s="0"/>
      <c r="AMC138" s="0"/>
      <c r="AMD138" s="0"/>
      <c r="AME138" s="0"/>
      <c r="AMF138" s="0"/>
      <c r="AMG138" s="0"/>
      <c r="AMH138" s="0"/>
      <c r="AMI138" s="0"/>
      <c r="AMJ138" s="0"/>
    </row>
    <row r="139" s="14" customFormat="true" ht="12.8" hidden="false" customHeight="false" outlineLevel="0" collapsed="false">
      <c r="A139" s="19" t="n">
        <v>86</v>
      </c>
      <c r="B139" s="6" t="n">
        <v>2</v>
      </c>
      <c r="C139" s="7" t="b">
        <v>0</v>
      </c>
      <c r="D139" s="7" t="b">
        <v>0</v>
      </c>
      <c r="E139" s="7" t="b">
        <v>0</v>
      </c>
      <c r="F139" s="6" t="n">
        <v>40</v>
      </c>
      <c r="G139" s="14" t="n">
        <v>8</v>
      </c>
      <c r="H139" s="16" t="b">
        <v>0</v>
      </c>
      <c r="I139" s="7" t="b">
        <v>0</v>
      </c>
      <c r="J139" s="7" t="b">
        <v>0</v>
      </c>
      <c r="K139" s="7" t="b">
        <v>1</v>
      </c>
      <c r="L139" s="6" t="n">
        <v>55</v>
      </c>
      <c r="M139" s="6" t="n">
        <v>32.4</v>
      </c>
      <c r="N139" s="6" t="n">
        <v>1</v>
      </c>
      <c r="O139" s="7" t="b">
        <v>0</v>
      </c>
      <c r="P139" s="7" t="b">
        <v>0</v>
      </c>
      <c r="Q139" s="7" t="b">
        <v>0</v>
      </c>
      <c r="R139" s="7" t="b">
        <v>0</v>
      </c>
      <c r="S139" s="7" t="b">
        <v>0</v>
      </c>
      <c r="T139" s="7" t="b">
        <v>0</v>
      </c>
      <c r="U139" s="7" t="b">
        <v>0</v>
      </c>
      <c r="V139" s="6" t="n">
        <v>0</v>
      </c>
      <c r="W139" s="17" t="n">
        <v>8</v>
      </c>
      <c r="X139" s="6" t="n">
        <v>0.35</v>
      </c>
      <c r="Y139" s="6" t="n">
        <v>8.24</v>
      </c>
      <c r="Z139" s="6" t="n">
        <f aca="false">(Y139*7.5006157584566)/X139</f>
        <v>176.585925284807</v>
      </c>
      <c r="AA139" s="6" t="n">
        <v>63</v>
      </c>
      <c r="AB139" s="6" t="n">
        <v>964</v>
      </c>
      <c r="AC139" s="6" t="n">
        <v>5.85</v>
      </c>
      <c r="AD139" s="6" t="n">
        <v>37.3</v>
      </c>
      <c r="AE139" s="7" t="b">
        <v>0</v>
      </c>
      <c r="AF139" s="7" t="b">
        <v>0</v>
      </c>
      <c r="AG139" s="7" t="b">
        <v>0</v>
      </c>
      <c r="AH139" s="7" t="b">
        <v>0</v>
      </c>
      <c r="AI139" s="7" t="b">
        <v>0</v>
      </c>
      <c r="AJ139" s="7" t="b">
        <v>1</v>
      </c>
      <c r="AKX139" s="0"/>
      <c r="AKY139" s="0"/>
      <c r="AKZ139" s="0"/>
      <c r="ALA139" s="0"/>
      <c r="ALB139" s="0"/>
      <c r="ALC139" s="0"/>
      <c r="ALD139" s="0"/>
      <c r="ALE139" s="0"/>
      <c r="ALF139" s="0"/>
      <c r="ALG139" s="0"/>
      <c r="ALH139" s="0"/>
      <c r="ALI139" s="0"/>
      <c r="ALJ139" s="0"/>
      <c r="ALK139" s="0"/>
      <c r="ALL139" s="0"/>
      <c r="ALM139" s="0"/>
      <c r="ALN139" s="0"/>
      <c r="ALO139" s="0"/>
      <c r="ALP139" s="0"/>
      <c r="ALQ139" s="0"/>
      <c r="ALR139" s="0"/>
      <c r="ALS139" s="0"/>
      <c r="ALT139" s="0"/>
      <c r="ALU139" s="0"/>
      <c r="ALV139" s="0"/>
      <c r="ALW139" s="0"/>
      <c r="ALX139" s="0"/>
      <c r="ALY139" s="0"/>
      <c r="ALZ139" s="0"/>
      <c r="AMA139" s="0"/>
      <c r="AMB139" s="0"/>
      <c r="AMC139" s="0"/>
      <c r="AMD139" s="0"/>
      <c r="AME139" s="0"/>
      <c r="AMF139" s="0"/>
      <c r="AMG139" s="0"/>
      <c r="AMH139" s="0"/>
      <c r="AMI139" s="0"/>
      <c r="AMJ139" s="0"/>
    </row>
    <row r="140" s="14" customFormat="true" ht="12.8" hidden="false" customHeight="false" outlineLevel="0" collapsed="false">
      <c r="A140" s="19" t="n">
        <v>87</v>
      </c>
      <c r="B140" s="6" t="n">
        <v>2</v>
      </c>
      <c r="C140" s="7" t="b">
        <v>0</v>
      </c>
      <c r="D140" s="7" t="b">
        <v>0</v>
      </c>
      <c r="E140" s="7" t="b">
        <v>0</v>
      </c>
      <c r="F140" s="6" t="n">
        <v>40</v>
      </c>
      <c r="G140" s="14" t="n">
        <v>7</v>
      </c>
      <c r="H140" s="16" t="b">
        <v>0</v>
      </c>
      <c r="I140" s="7" t="b">
        <v>0</v>
      </c>
      <c r="J140" s="7" t="b">
        <v>0</v>
      </c>
      <c r="K140" s="7" t="b">
        <v>0</v>
      </c>
      <c r="L140" s="6" t="n">
        <v>72</v>
      </c>
      <c r="M140" s="6" t="n">
        <v>39.1</v>
      </c>
      <c r="N140" s="6" t="n">
        <v>0</v>
      </c>
      <c r="O140" s="7" t="b">
        <v>1</v>
      </c>
      <c r="P140" s="7" t="b">
        <v>1</v>
      </c>
      <c r="Q140" s="7" t="b">
        <v>0</v>
      </c>
      <c r="R140" s="7" t="b">
        <v>1</v>
      </c>
      <c r="S140" s="7" t="b">
        <v>0</v>
      </c>
      <c r="T140" s="7" t="b">
        <v>0</v>
      </c>
      <c r="U140" s="7" t="b">
        <v>0</v>
      </c>
      <c r="V140" s="6" t="n">
        <v>0</v>
      </c>
      <c r="W140" s="17" t="n">
        <v>5</v>
      </c>
      <c r="X140" s="6" t="n">
        <v>0.28</v>
      </c>
      <c r="Y140" s="6" t="n">
        <v>8.64</v>
      </c>
      <c r="Z140" s="6" t="n">
        <f aca="false">(Y140*7.5006157584566)/X140</f>
        <v>231.447571975232</v>
      </c>
      <c r="AA140" s="6" t="n">
        <v>51</v>
      </c>
      <c r="AB140" s="6" t="n">
        <v>400</v>
      </c>
      <c r="AC140" s="6" t="n">
        <v>3.45</v>
      </c>
      <c r="AD140" s="6" t="n">
        <v>36.7</v>
      </c>
      <c r="AE140" s="7" t="b">
        <v>0</v>
      </c>
      <c r="AF140" s="7" t="b">
        <v>0</v>
      </c>
      <c r="AG140" s="7" t="b">
        <v>0</v>
      </c>
      <c r="AH140" s="7" t="b">
        <v>0</v>
      </c>
      <c r="AI140" s="7" t="b">
        <v>0</v>
      </c>
      <c r="AJ140" s="7" t="b">
        <v>1</v>
      </c>
      <c r="AKX140" s="0"/>
      <c r="AKY140" s="0"/>
      <c r="AKZ140" s="0"/>
      <c r="ALA140" s="0"/>
      <c r="ALB140" s="0"/>
      <c r="ALC140" s="0"/>
      <c r="ALD140" s="0"/>
      <c r="ALE140" s="0"/>
      <c r="ALF140" s="0"/>
      <c r="ALG140" s="0"/>
      <c r="ALH140" s="0"/>
      <c r="ALI140" s="0"/>
      <c r="ALJ140" s="0"/>
      <c r="ALK140" s="0"/>
      <c r="ALL140" s="0"/>
      <c r="ALM140" s="0"/>
      <c r="ALN140" s="0"/>
      <c r="ALO140" s="0"/>
      <c r="ALP140" s="0"/>
      <c r="ALQ140" s="0"/>
      <c r="ALR140" s="0"/>
      <c r="ALS140" s="0"/>
      <c r="ALT140" s="0"/>
      <c r="ALU140" s="0"/>
      <c r="ALV140" s="0"/>
      <c r="ALW140" s="0"/>
      <c r="ALX140" s="0"/>
      <c r="ALY140" s="0"/>
      <c r="ALZ140" s="0"/>
      <c r="AMA140" s="0"/>
      <c r="AMB140" s="0"/>
      <c r="AMC140" s="0"/>
      <c r="AMD140" s="0"/>
      <c r="AME140" s="0"/>
      <c r="AMF140" s="0"/>
      <c r="AMG140" s="0"/>
      <c r="AMH140" s="0"/>
      <c r="AMI140" s="0"/>
      <c r="AMJ140" s="0"/>
    </row>
    <row r="141" s="14" customFormat="true" ht="12.8" hidden="false" customHeight="false" outlineLevel="0" collapsed="false">
      <c r="A141" s="20" t="n">
        <v>2</v>
      </c>
      <c r="B141" s="21" t="n">
        <v>3</v>
      </c>
      <c r="C141" s="7" t="b">
        <v>0</v>
      </c>
      <c r="D141" s="22" t="b">
        <v>1</v>
      </c>
      <c r="E141" s="22" t="b">
        <v>1</v>
      </c>
      <c r="F141" s="21" t="n">
        <v>11</v>
      </c>
      <c r="G141" s="21"/>
      <c r="H141" s="23" t="b">
        <v>0</v>
      </c>
      <c r="I141" s="22"/>
      <c r="J141" s="22" t="b">
        <v>0</v>
      </c>
      <c r="K141" s="22" t="b">
        <v>1</v>
      </c>
      <c r="L141" s="21" t="n">
        <v>77</v>
      </c>
      <c r="M141" s="21" t="n">
        <v>33.1</v>
      </c>
      <c r="N141" s="21" t="n">
        <v>1</v>
      </c>
      <c r="O141" s="22" t="b">
        <v>1</v>
      </c>
      <c r="P141" s="22" t="b">
        <v>1</v>
      </c>
      <c r="Q141" s="22" t="b">
        <v>0</v>
      </c>
      <c r="R141" s="22" t="b">
        <v>0</v>
      </c>
      <c r="S141" s="22" t="b">
        <v>0</v>
      </c>
      <c r="T141" s="22" t="b">
        <v>0</v>
      </c>
      <c r="U141" s="22" t="b">
        <v>0</v>
      </c>
      <c r="V141" s="21" t="n">
        <v>0</v>
      </c>
      <c r="W141" s="24" t="n">
        <v>8</v>
      </c>
      <c r="X141" s="21" t="n">
        <v>0.35</v>
      </c>
      <c r="Y141" s="21" t="n">
        <v>9.86</v>
      </c>
      <c r="Z141" s="21" t="n">
        <f aca="false">(Y141*7.5006157584566)/X141</f>
        <v>211.303061081092</v>
      </c>
      <c r="AA141" s="21" t="n">
        <v>127</v>
      </c>
      <c r="AB141" s="21" t="n">
        <v>448</v>
      </c>
      <c r="AC141" s="21" t="n">
        <v>30.77</v>
      </c>
      <c r="AD141" s="21" t="n">
        <v>37.3</v>
      </c>
      <c r="AE141" s="22" t="b">
        <v>0</v>
      </c>
      <c r="AF141" s="22" t="b">
        <v>1</v>
      </c>
      <c r="AG141" s="22" t="b">
        <v>0</v>
      </c>
      <c r="AH141" s="22" t="b">
        <v>0</v>
      </c>
      <c r="AI141" s="22" t="b">
        <v>0</v>
      </c>
      <c r="AJ141" s="22" t="b">
        <v>0</v>
      </c>
      <c r="AKX141" s="0"/>
      <c r="AKY141" s="0"/>
      <c r="AKZ141" s="0"/>
      <c r="ALA141" s="0"/>
      <c r="ALB141" s="0"/>
      <c r="ALC141" s="0"/>
      <c r="ALD141" s="0"/>
      <c r="ALE141" s="0"/>
      <c r="ALF141" s="0"/>
      <c r="ALG141" s="0"/>
      <c r="ALH141" s="0"/>
      <c r="ALI141" s="0"/>
      <c r="ALJ141" s="0"/>
      <c r="ALK141" s="0"/>
      <c r="ALL141" s="0"/>
      <c r="ALM141" s="0"/>
      <c r="ALN141" s="0"/>
      <c r="ALO141" s="0"/>
      <c r="ALP141" s="0"/>
      <c r="ALQ141" s="0"/>
      <c r="ALR141" s="0"/>
      <c r="ALS141" s="0"/>
      <c r="ALT141" s="0"/>
      <c r="ALU141" s="0"/>
      <c r="ALV141" s="0"/>
      <c r="ALW141" s="0"/>
      <c r="ALX141" s="0"/>
      <c r="ALY141" s="0"/>
      <c r="ALZ141" s="0"/>
      <c r="AMA141" s="0"/>
      <c r="AMB141" s="0"/>
      <c r="AMC141" s="0"/>
      <c r="AMD141" s="0"/>
      <c r="AME141" s="0"/>
      <c r="AMF141" s="0"/>
      <c r="AMG141" s="0"/>
      <c r="AMH141" s="0"/>
      <c r="AMI141" s="0"/>
      <c r="AMJ141" s="0"/>
    </row>
    <row r="142" s="25" customFormat="true" ht="12.8" hidden="false" customHeight="false" outlineLevel="0" collapsed="false">
      <c r="A142" s="20" t="n">
        <v>5</v>
      </c>
      <c r="B142" s="6" t="n">
        <v>3</v>
      </c>
      <c r="C142" s="7" t="b">
        <v>0</v>
      </c>
      <c r="D142" s="7" t="b">
        <v>1</v>
      </c>
      <c r="E142" s="7" t="b">
        <v>1</v>
      </c>
      <c r="F142" s="6" t="n">
        <v>28</v>
      </c>
      <c r="G142" s="6"/>
      <c r="H142" s="16" t="b">
        <v>0</v>
      </c>
      <c r="I142" s="7" t="b">
        <v>0</v>
      </c>
      <c r="J142" s="7" t="b">
        <v>1</v>
      </c>
      <c r="K142" s="7" t="b">
        <v>0</v>
      </c>
      <c r="L142" s="6" t="n">
        <v>53</v>
      </c>
      <c r="M142" s="6" t="n">
        <v>27.8</v>
      </c>
      <c r="N142" s="6" t="n">
        <v>0</v>
      </c>
      <c r="O142" s="7" t="b">
        <v>1</v>
      </c>
      <c r="P142" s="7" t="b">
        <v>0</v>
      </c>
      <c r="Q142" s="7" t="b">
        <v>0</v>
      </c>
      <c r="R142" s="7" t="b">
        <v>0</v>
      </c>
      <c r="S142" s="7" t="b">
        <v>0</v>
      </c>
      <c r="T142" s="7" t="b">
        <v>0</v>
      </c>
      <c r="U142" s="7" t="b">
        <v>0</v>
      </c>
      <c r="V142" s="6" t="n">
        <v>1</v>
      </c>
      <c r="W142" s="17" t="n">
        <v>12</v>
      </c>
      <c r="X142" s="6" t="n">
        <v>0.5</v>
      </c>
      <c r="Y142" s="6" t="n">
        <v>8.85</v>
      </c>
      <c r="Z142" s="6" t="n">
        <f aca="false">(Y142*7.5006157584566)/X142</f>
        <v>132.760898924682</v>
      </c>
      <c r="AA142" s="6" t="n">
        <v>98</v>
      </c>
      <c r="AB142" s="6" t="n">
        <v>1027</v>
      </c>
      <c r="AC142" s="6" t="n">
        <v>8.7</v>
      </c>
      <c r="AD142" s="6" t="n">
        <v>39</v>
      </c>
      <c r="AE142" s="7" t="b">
        <v>0</v>
      </c>
      <c r="AF142" s="7" t="b">
        <v>0</v>
      </c>
      <c r="AG142" s="7" t="b">
        <v>1</v>
      </c>
      <c r="AH142" s="7" t="b">
        <v>0</v>
      </c>
      <c r="AI142" s="7" t="b">
        <v>1</v>
      </c>
      <c r="AJ142" s="7" t="b">
        <v>0</v>
      </c>
      <c r="AKX142" s="0"/>
      <c r="AKY142" s="0"/>
      <c r="AKZ142" s="0"/>
      <c r="ALA142" s="0"/>
      <c r="ALB142" s="0"/>
      <c r="ALC142" s="0"/>
      <c r="ALD142" s="0"/>
      <c r="ALE142" s="0"/>
      <c r="ALF142" s="0"/>
      <c r="ALG142" s="0"/>
      <c r="ALH142" s="0"/>
      <c r="ALI142" s="0"/>
      <c r="ALJ142" s="0"/>
      <c r="ALK142" s="0"/>
      <c r="ALL142" s="0"/>
      <c r="ALM142" s="0"/>
      <c r="ALN142" s="0"/>
      <c r="ALO142" s="0"/>
      <c r="ALP142" s="0"/>
      <c r="ALQ142" s="0"/>
      <c r="ALR142" s="0"/>
      <c r="ALS142" s="0"/>
      <c r="ALT142" s="0"/>
      <c r="ALU142" s="0"/>
      <c r="ALV142" s="0"/>
      <c r="ALW142" s="0"/>
      <c r="ALX142" s="0"/>
      <c r="ALY142" s="0"/>
      <c r="ALZ142" s="0"/>
      <c r="AMA142" s="0"/>
      <c r="AMB142" s="0"/>
      <c r="AMC142" s="0"/>
      <c r="AMD142" s="0"/>
      <c r="AME142" s="0"/>
      <c r="AMF142" s="0"/>
      <c r="AMG142" s="0"/>
      <c r="AMH142" s="0"/>
      <c r="AMI142" s="0"/>
      <c r="AMJ142" s="0"/>
    </row>
    <row r="143" s="14" customFormat="true" ht="12.8" hidden="false" customHeight="false" outlineLevel="0" collapsed="false">
      <c r="A143" s="20" t="n">
        <v>8</v>
      </c>
      <c r="B143" s="6" t="n">
        <v>3</v>
      </c>
      <c r="C143" s="7" t="b">
        <v>0</v>
      </c>
      <c r="D143" s="7" t="b">
        <v>1</v>
      </c>
      <c r="E143" s="7" t="b">
        <v>1</v>
      </c>
      <c r="F143" s="6" t="n">
        <v>13</v>
      </c>
      <c r="G143" s="6"/>
      <c r="H143" s="16" t="b">
        <v>0</v>
      </c>
      <c r="I143" s="7" t="b">
        <v>0</v>
      </c>
      <c r="J143" s="7" t="b">
        <v>1</v>
      </c>
      <c r="K143" s="7" t="b">
        <v>0</v>
      </c>
      <c r="L143" s="6" t="n">
        <v>73</v>
      </c>
      <c r="M143" s="6" t="n">
        <v>34.5</v>
      </c>
      <c r="N143" s="6" t="n">
        <v>0</v>
      </c>
      <c r="O143" s="7" t="b">
        <v>0</v>
      </c>
      <c r="P143" s="7" t="b">
        <v>0</v>
      </c>
      <c r="Q143" s="7" t="b">
        <v>0</v>
      </c>
      <c r="R143" s="7" t="b">
        <v>1</v>
      </c>
      <c r="S143" s="7" t="b">
        <v>1</v>
      </c>
      <c r="T143" s="7" t="b">
        <v>0</v>
      </c>
      <c r="U143" s="7" t="b">
        <v>0</v>
      </c>
      <c r="V143" s="6" t="n">
        <v>0</v>
      </c>
      <c r="W143" s="17" t="n">
        <v>12</v>
      </c>
      <c r="X143" s="6" t="n">
        <v>0.4</v>
      </c>
      <c r="Y143" s="6" t="n">
        <v>7.58</v>
      </c>
      <c r="Z143" s="6" t="n">
        <f aca="false">(Y143*7.5006157584566)/X143</f>
        <v>142.136668622753</v>
      </c>
      <c r="AA143" s="6" t="n">
        <v>101</v>
      </c>
      <c r="AB143" s="6" t="n">
        <v>1560</v>
      </c>
      <c r="AC143" s="6"/>
      <c r="AD143" s="6" t="n">
        <v>37.6</v>
      </c>
      <c r="AE143" s="7" t="b">
        <v>0</v>
      </c>
      <c r="AF143" s="7" t="b">
        <v>0</v>
      </c>
      <c r="AG143" s="7" t="b">
        <v>0</v>
      </c>
      <c r="AH143" s="7" t="b">
        <v>0</v>
      </c>
      <c r="AI143" s="7" t="b">
        <v>0</v>
      </c>
      <c r="AJ143" s="7" t="b">
        <v>0</v>
      </c>
      <c r="AKX143" s="0"/>
      <c r="AKY143" s="0"/>
      <c r="AKZ143" s="0"/>
      <c r="ALA143" s="0"/>
      <c r="ALB143" s="0"/>
      <c r="ALC143" s="0"/>
      <c r="ALD143" s="0"/>
      <c r="ALE143" s="0"/>
      <c r="ALF143" s="0"/>
      <c r="ALG143" s="0"/>
      <c r="ALH143" s="0"/>
      <c r="ALI143" s="0"/>
      <c r="ALJ143" s="0"/>
      <c r="ALK143" s="0"/>
      <c r="ALL143" s="0"/>
      <c r="ALM143" s="0"/>
      <c r="ALN143" s="0"/>
      <c r="ALO143" s="0"/>
      <c r="ALP143" s="0"/>
      <c r="ALQ143" s="0"/>
      <c r="ALR143" s="0"/>
      <c r="ALS143" s="0"/>
      <c r="ALT143" s="0"/>
      <c r="ALU143" s="0"/>
      <c r="ALV143" s="0"/>
      <c r="ALW143" s="0"/>
      <c r="ALX143" s="0"/>
      <c r="ALY143" s="0"/>
      <c r="ALZ143" s="0"/>
      <c r="AMA143" s="0"/>
      <c r="AMB143" s="0"/>
      <c r="AMC143" s="0"/>
      <c r="AMD143" s="0"/>
      <c r="AME143" s="0"/>
      <c r="AMF143" s="0"/>
      <c r="AMG143" s="0"/>
      <c r="AMH143" s="0"/>
      <c r="AMI143" s="0"/>
      <c r="AMJ143" s="0"/>
    </row>
    <row r="144" s="14" customFormat="true" ht="12.8" hidden="false" customHeight="false" outlineLevel="0" collapsed="false">
      <c r="A144" s="20" t="n">
        <v>17</v>
      </c>
      <c r="B144" s="6" t="n">
        <v>3</v>
      </c>
      <c r="C144" s="7" t="b">
        <v>0</v>
      </c>
      <c r="D144" s="7" t="b">
        <v>1</v>
      </c>
      <c r="E144" s="7" t="b">
        <v>1</v>
      </c>
      <c r="F144" s="6" t="n">
        <v>7</v>
      </c>
      <c r="G144" s="6"/>
      <c r="H144" s="16" t="b">
        <v>0</v>
      </c>
      <c r="I144" s="7"/>
      <c r="J144" s="7" t="b">
        <v>0</v>
      </c>
      <c r="K144" s="7" t="b">
        <v>0</v>
      </c>
      <c r="L144" s="6" t="n">
        <v>77</v>
      </c>
      <c r="M144" s="6" t="n">
        <v>25.4</v>
      </c>
      <c r="N144" s="6" t="n">
        <v>0</v>
      </c>
      <c r="O144" s="7" t="b">
        <v>0</v>
      </c>
      <c r="P144" s="7" t="b">
        <v>1</v>
      </c>
      <c r="Q144" s="7" t="b">
        <v>0</v>
      </c>
      <c r="R144" s="7" t="b">
        <v>1</v>
      </c>
      <c r="S144" s="7" t="b">
        <v>1</v>
      </c>
      <c r="T144" s="7" t="b">
        <v>0</v>
      </c>
      <c r="U144" s="7" t="b">
        <v>0</v>
      </c>
      <c r="V144" s="6" t="n">
        <v>0</v>
      </c>
      <c r="W144" s="17" t="n">
        <v>10</v>
      </c>
      <c r="X144" s="6" t="n">
        <v>0.6</v>
      </c>
      <c r="Y144" s="6" t="n">
        <v>8.4</v>
      </c>
      <c r="Z144" s="6" t="n">
        <f aca="false">(Y144*7.5006157584566)/X144</f>
        <v>105.008620618392</v>
      </c>
      <c r="AA144" s="6" t="n">
        <v>297</v>
      </c>
      <c r="AB144" s="6" t="n">
        <v>1959</v>
      </c>
      <c r="AC144" s="6"/>
      <c r="AD144" s="6" t="n">
        <v>39.4</v>
      </c>
      <c r="AE144" s="7" t="b">
        <v>1</v>
      </c>
      <c r="AF144" s="7" t="b">
        <v>0</v>
      </c>
      <c r="AG144" s="7" t="b">
        <v>0</v>
      </c>
      <c r="AH144" s="7" t="b">
        <v>0</v>
      </c>
      <c r="AI144" s="7" t="b">
        <v>1</v>
      </c>
      <c r="AJ144" s="7" t="b">
        <v>0</v>
      </c>
      <c r="AKX144" s="0"/>
      <c r="AKY144" s="0"/>
      <c r="AKZ144" s="0"/>
      <c r="ALA144" s="0"/>
      <c r="ALB144" s="0"/>
      <c r="ALC144" s="0"/>
      <c r="ALD144" s="0"/>
      <c r="ALE144" s="0"/>
      <c r="ALF144" s="0"/>
      <c r="ALG144" s="0"/>
      <c r="ALH144" s="0"/>
      <c r="ALI144" s="0"/>
      <c r="ALJ144" s="0"/>
      <c r="ALK144" s="0"/>
      <c r="ALL144" s="0"/>
      <c r="ALM144" s="0"/>
      <c r="ALN144" s="0"/>
      <c r="ALO144" s="0"/>
      <c r="ALP144" s="0"/>
      <c r="ALQ144" s="0"/>
      <c r="ALR144" s="0"/>
      <c r="ALS144" s="0"/>
      <c r="ALT144" s="0"/>
      <c r="ALU144" s="0"/>
      <c r="ALV144" s="0"/>
      <c r="ALW144" s="0"/>
      <c r="ALX144" s="0"/>
      <c r="ALY144" s="0"/>
      <c r="ALZ144" s="0"/>
      <c r="AMA144" s="0"/>
      <c r="AMB144" s="0"/>
      <c r="AMC144" s="0"/>
      <c r="AMD144" s="0"/>
      <c r="AME144" s="0"/>
      <c r="AMF144" s="0"/>
      <c r="AMG144" s="0"/>
      <c r="AMH144" s="0"/>
      <c r="AMI144" s="0"/>
      <c r="AMJ144" s="0"/>
    </row>
    <row r="145" s="14" customFormat="true" ht="12.8" hidden="false" customHeight="false" outlineLevel="0" collapsed="false">
      <c r="A145" s="20" t="n">
        <v>19</v>
      </c>
      <c r="B145" s="6" t="n">
        <v>3</v>
      </c>
      <c r="C145" s="7" t="b">
        <v>0</v>
      </c>
      <c r="D145" s="7" t="b">
        <v>1</v>
      </c>
      <c r="E145" s="7" t="b">
        <v>1</v>
      </c>
      <c r="F145" s="6" t="n">
        <v>11</v>
      </c>
      <c r="G145" s="6"/>
      <c r="H145" s="16"/>
      <c r="I145" s="7"/>
      <c r="J145" s="7"/>
      <c r="K145" s="7" t="b">
        <v>0</v>
      </c>
      <c r="L145" s="6" t="n">
        <v>75</v>
      </c>
      <c r="M145" s="6" t="n">
        <v>37.9</v>
      </c>
      <c r="N145" s="6" t="n">
        <v>0</v>
      </c>
      <c r="O145" s="7" t="b">
        <v>1</v>
      </c>
      <c r="P145" s="7" t="b">
        <v>1</v>
      </c>
      <c r="Q145" s="7" t="b">
        <v>0</v>
      </c>
      <c r="R145" s="7" t="b">
        <v>0</v>
      </c>
      <c r="S145" s="7" t="b">
        <v>0</v>
      </c>
      <c r="T145" s="7" t="b">
        <v>0</v>
      </c>
      <c r="U145" s="7" t="b">
        <v>0</v>
      </c>
      <c r="V145" s="6" t="n">
        <v>0</v>
      </c>
      <c r="W145" s="17"/>
      <c r="X145" s="6"/>
      <c r="Y145" s="6"/>
      <c r="Z145" s="6"/>
      <c r="AA145" s="6"/>
      <c r="AB145" s="6"/>
      <c r="AC145" s="6"/>
      <c r="AD145" s="6"/>
      <c r="AE145" s="7"/>
      <c r="AF145" s="7"/>
      <c r="AG145" s="7"/>
      <c r="AH145" s="7"/>
      <c r="AI145" s="7"/>
      <c r="AJ145" s="7" t="b">
        <v>0</v>
      </c>
      <c r="AKX145" s="0"/>
      <c r="AKY145" s="0"/>
      <c r="AKZ145" s="0"/>
      <c r="ALA145" s="0"/>
      <c r="ALB145" s="0"/>
      <c r="ALC145" s="0"/>
      <c r="ALD145" s="0"/>
      <c r="ALE145" s="0"/>
      <c r="ALF145" s="0"/>
      <c r="ALG145" s="0"/>
      <c r="ALH145" s="0"/>
      <c r="ALI145" s="0"/>
      <c r="ALJ145" s="0"/>
      <c r="ALK145" s="0"/>
      <c r="ALL145" s="0"/>
      <c r="ALM145" s="0"/>
      <c r="ALN145" s="0"/>
      <c r="ALO145" s="0"/>
      <c r="ALP145" s="0"/>
      <c r="ALQ145" s="0"/>
      <c r="ALR145" s="0"/>
      <c r="ALS145" s="0"/>
      <c r="ALT145" s="0"/>
      <c r="ALU145" s="0"/>
      <c r="ALV145" s="0"/>
      <c r="ALW145" s="0"/>
      <c r="ALX145" s="0"/>
      <c r="ALY145" s="0"/>
      <c r="ALZ145" s="0"/>
      <c r="AMA145" s="0"/>
      <c r="AMB145" s="0"/>
      <c r="AMC145" s="0"/>
      <c r="AMD145" s="0"/>
      <c r="AME145" s="0"/>
      <c r="AMF145" s="0"/>
      <c r="AMG145" s="0"/>
      <c r="AMH145" s="0"/>
      <c r="AMI145" s="0"/>
      <c r="AMJ145" s="0"/>
    </row>
    <row r="146" s="14" customFormat="true" ht="12.8" hidden="false" customHeight="false" outlineLevel="0" collapsed="false">
      <c r="A146" s="20" t="n">
        <v>21</v>
      </c>
      <c r="B146" s="6" t="n">
        <v>3</v>
      </c>
      <c r="C146" s="7" t="b">
        <v>0</v>
      </c>
      <c r="D146" s="7" t="b">
        <v>1</v>
      </c>
      <c r="E146" s="7" t="b">
        <v>1</v>
      </c>
      <c r="F146" s="6" t="n">
        <v>5</v>
      </c>
      <c r="G146" s="6"/>
      <c r="H146" s="16" t="b">
        <v>0</v>
      </c>
      <c r="I146" s="7"/>
      <c r="J146" s="7" t="b">
        <v>1</v>
      </c>
      <c r="K146" s="7" t="b">
        <v>1</v>
      </c>
      <c r="L146" s="6" t="n">
        <v>60</v>
      </c>
      <c r="M146" s="6" t="n">
        <v>39.1</v>
      </c>
      <c r="N146" s="6" t="n">
        <v>1</v>
      </c>
      <c r="O146" s="7" t="b">
        <v>1</v>
      </c>
      <c r="P146" s="7" t="b">
        <v>0</v>
      </c>
      <c r="Q146" s="7" t="b">
        <v>0</v>
      </c>
      <c r="R146" s="7" t="b">
        <v>0</v>
      </c>
      <c r="S146" s="7" t="b">
        <v>0</v>
      </c>
      <c r="T146" s="7" t="b">
        <v>0</v>
      </c>
      <c r="U146" s="7" t="b">
        <v>0</v>
      </c>
      <c r="V146" s="6" t="n">
        <v>0</v>
      </c>
      <c r="W146" s="17"/>
      <c r="X146" s="6" t="n">
        <v>0.7</v>
      </c>
      <c r="Y146" s="6" t="n">
        <v>8.6</v>
      </c>
      <c r="Z146" s="6" t="n">
        <f aca="false">(Y146*7.5006157584566)/X146</f>
        <v>92.1504221753239</v>
      </c>
      <c r="AA146" s="6" t="n">
        <v>369</v>
      </c>
      <c r="AB146" s="6" t="n">
        <v>2853</v>
      </c>
      <c r="AC146" s="6" t="n">
        <v>61.77</v>
      </c>
      <c r="AD146" s="6" t="n">
        <v>39</v>
      </c>
      <c r="AE146" s="7" t="b">
        <v>1</v>
      </c>
      <c r="AF146" s="7" t="b">
        <v>1</v>
      </c>
      <c r="AG146" s="7" t="b">
        <v>0</v>
      </c>
      <c r="AH146" s="7" t="b">
        <v>0</v>
      </c>
      <c r="AI146" s="7" t="b">
        <v>0</v>
      </c>
      <c r="AJ146" s="7" t="b">
        <v>0</v>
      </c>
      <c r="AKX146" s="0"/>
      <c r="AKY146" s="0"/>
      <c r="AKZ146" s="0"/>
      <c r="ALA146" s="0"/>
      <c r="ALB146" s="0"/>
      <c r="ALC146" s="0"/>
      <c r="ALD146" s="0"/>
      <c r="ALE146" s="0"/>
      <c r="ALF146" s="0"/>
      <c r="ALG146" s="0"/>
      <c r="ALH146" s="0"/>
      <c r="ALI146" s="0"/>
      <c r="ALJ146" s="0"/>
      <c r="ALK146" s="0"/>
      <c r="ALL146" s="0"/>
      <c r="ALM146" s="0"/>
      <c r="ALN146" s="0"/>
      <c r="ALO146" s="0"/>
      <c r="ALP146" s="0"/>
      <c r="ALQ146" s="0"/>
      <c r="ALR146" s="0"/>
      <c r="ALS146" s="0"/>
      <c r="ALT146" s="0"/>
      <c r="ALU146" s="0"/>
      <c r="ALV146" s="0"/>
      <c r="ALW146" s="0"/>
      <c r="ALX146" s="0"/>
      <c r="ALY146" s="0"/>
      <c r="ALZ146" s="0"/>
      <c r="AMA146" s="0"/>
      <c r="AMB146" s="0"/>
      <c r="AMC146" s="0"/>
      <c r="AMD146" s="0"/>
      <c r="AME146" s="0"/>
      <c r="AMF146" s="0"/>
      <c r="AMG146" s="0"/>
      <c r="AMH146" s="0"/>
      <c r="AMI146" s="0"/>
      <c r="AMJ146" s="0"/>
    </row>
    <row r="147" s="14" customFormat="true" ht="12.8" hidden="false" customHeight="false" outlineLevel="0" collapsed="false">
      <c r="A147" s="20" t="n">
        <v>23</v>
      </c>
      <c r="B147" s="6" t="n">
        <v>3</v>
      </c>
      <c r="C147" s="7" t="b">
        <v>0</v>
      </c>
      <c r="D147" s="7" t="b">
        <v>1</v>
      </c>
      <c r="E147" s="7" t="b">
        <v>1</v>
      </c>
      <c r="F147" s="6" t="n">
        <v>12</v>
      </c>
      <c r="G147" s="6"/>
      <c r="H147" s="16" t="b">
        <v>0</v>
      </c>
      <c r="I147" s="7"/>
      <c r="J147" s="7" t="b">
        <v>1</v>
      </c>
      <c r="K147" s="7" t="b">
        <v>0</v>
      </c>
      <c r="L147" s="6" t="n">
        <v>72</v>
      </c>
      <c r="M147" s="6" t="n">
        <v>25.4</v>
      </c>
      <c r="N147" s="6" t="n">
        <v>0</v>
      </c>
      <c r="O147" s="7" t="b">
        <v>1</v>
      </c>
      <c r="P147" s="7" t="b">
        <v>0</v>
      </c>
      <c r="Q147" s="7" t="b">
        <v>0</v>
      </c>
      <c r="R147" s="7" t="b">
        <v>0</v>
      </c>
      <c r="S147" s="7" t="b">
        <v>0</v>
      </c>
      <c r="T147" s="7" t="b">
        <v>0</v>
      </c>
      <c r="U147" s="7" t="b">
        <v>0</v>
      </c>
      <c r="V147" s="6" t="n">
        <v>0</v>
      </c>
      <c r="W147" s="17" t="n">
        <v>12</v>
      </c>
      <c r="X147" s="6" t="n">
        <v>0.7</v>
      </c>
      <c r="Y147" s="6" t="n">
        <v>8.1</v>
      </c>
      <c r="Z147" s="6" t="n">
        <f aca="false">(Y147*7.5006157584566)/X147</f>
        <v>86.7928394907121</v>
      </c>
      <c r="AA147" s="6" t="n">
        <v>136</v>
      </c>
      <c r="AB147" s="6" t="n">
        <v>7680</v>
      </c>
      <c r="AC147" s="6"/>
      <c r="AD147" s="6" t="n">
        <v>38.4</v>
      </c>
      <c r="AE147" s="7" t="b">
        <v>0</v>
      </c>
      <c r="AF147" s="7" t="b">
        <v>0</v>
      </c>
      <c r="AG147" s="7" t="b">
        <v>1</v>
      </c>
      <c r="AH147" s="7" t="b">
        <v>0</v>
      </c>
      <c r="AI147" s="7" t="b">
        <v>0</v>
      </c>
      <c r="AJ147" s="7" t="b">
        <v>0</v>
      </c>
      <c r="AKX147" s="0"/>
      <c r="AKY147" s="0"/>
      <c r="AKZ147" s="0"/>
      <c r="ALA147" s="0"/>
      <c r="ALB147" s="0"/>
      <c r="ALC147" s="0"/>
      <c r="ALD147" s="0"/>
      <c r="ALE147" s="0"/>
      <c r="ALF147" s="0"/>
      <c r="ALG147" s="0"/>
      <c r="ALH147" s="0"/>
      <c r="ALI147" s="0"/>
      <c r="ALJ147" s="0"/>
      <c r="ALK147" s="0"/>
      <c r="ALL147" s="0"/>
      <c r="ALM147" s="0"/>
      <c r="ALN147" s="0"/>
      <c r="ALO147" s="0"/>
      <c r="ALP147" s="0"/>
      <c r="ALQ147" s="0"/>
      <c r="ALR147" s="0"/>
      <c r="ALS147" s="0"/>
      <c r="ALT147" s="0"/>
      <c r="ALU147" s="0"/>
      <c r="ALV147" s="0"/>
      <c r="ALW147" s="0"/>
      <c r="ALX147" s="0"/>
      <c r="ALY147" s="0"/>
      <c r="ALZ147" s="0"/>
      <c r="AMA147" s="0"/>
      <c r="AMB147" s="0"/>
      <c r="AMC147" s="0"/>
      <c r="AMD147" s="0"/>
      <c r="AME147" s="0"/>
      <c r="AMF147" s="0"/>
      <c r="AMG147" s="0"/>
      <c r="AMH147" s="0"/>
      <c r="AMI147" s="0"/>
      <c r="AMJ147" s="0"/>
    </row>
    <row r="148" s="14" customFormat="true" ht="12.8" hidden="false" customHeight="false" outlineLevel="0" collapsed="false">
      <c r="A148" s="20" t="n">
        <v>24</v>
      </c>
      <c r="B148" s="6" t="n">
        <v>3</v>
      </c>
      <c r="C148" s="7" t="b">
        <v>0</v>
      </c>
      <c r="D148" s="7" t="b">
        <v>1</v>
      </c>
      <c r="E148" s="7" t="b">
        <v>1</v>
      </c>
      <c r="F148" s="6" t="n">
        <v>10</v>
      </c>
      <c r="G148" s="6"/>
      <c r="H148" s="16" t="b">
        <v>1</v>
      </c>
      <c r="I148" s="7"/>
      <c r="J148" s="7" t="b">
        <v>1</v>
      </c>
      <c r="K148" s="7" t="b">
        <v>0</v>
      </c>
      <c r="L148" s="6" t="n">
        <v>50</v>
      </c>
      <c r="M148" s="6" t="n">
        <v>29.6</v>
      </c>
      <c r="N148" s="6" t="n">
        <v>2</v>
      </c>
      <c r="O148" s="7" t="b">
        <v>1</v>
      </c>
      <c r="P148" s="7" t="b">
        <v>1</v>
      </c>
      <c r="Q148" s="7" t="b">
        <v>0</v>
      </c>
      <c r="R148" s="7" t="b">
        <v>0</v>
      </c>
      <c r="S148" s="7" t="b">
        <v>0</v>
      </c>
      <c r="T148" s="7" t="b">
        <v>0</v>
      </c>
      <c r="U148" s="7" t="b">
        <v>0</v>
      </c>
      <c r="V148" s="6" t="n">
        <v>1</v>
      </c>
      <c r="W148" s="17"/>
      <c r="X148" s="6" t="n">
        <v>0.6</v>
      </c>
      <c r="Y148" s="6" t="n">
        <v>8.98</v>
      </c>
      <c r="Z148" s="6" t="n">
        <f aca="false">(Y148*7.5006157584566)/X148</f>
        <v>112.259215851567</v>
      </c>
      <c r="AA148" s="6" t="n">
        <v>506</v>
      </c>
      <c r="AB148" s="6" t="n">
        <v>3855</v>
      </c>
      <c r="AC148" s="6"/>
      <c r="AD148" s="6" t="n">
        <v>38.9</v>
      </c>
      <c r="AE148" s="7" t="b">
        <v>1</v>
      </c>
      <c r="AF148" s="7" t="b">
        <v>1</v>
      </c>
      <c r="AG148" s="7" t="b">
        <v>0</v>
      </c>
      <c r="AH148" s="7" t="b">
        <v>0</v>
      </c>
      <c r="AI148" s="7" t="b">
        <v>1</v>
      </c>
      <c r="AJ148" s="7" t="b">
        <v>0</v>
      </c>
      <c r="AKX148" s="0"/>
      <c r="AKY148" s="0"/>
      <c r="AKZ148" s="0"/>
      <c r="ALA148" s="0"/>
      <c r="ALB148" s="0"/>
      <c r="ALC148" s="0"/>
      <c r="ALD148" s="0"/>
      <c r="ALE148" s="0"/>
      <c r="ALF148" s="0"/>
      <c r="ALG148" s="0"/>
      <c r="ALH148" s="0"/>
      <c r="ALI148" s="0"/>
      <c r="ALJ148" s="0"/>
      <c r="ALK148" s="0"/>
      <c r="ALL148" s="0"/>
      <c r="ALM148" s="0"/>
      <c r="ALN148" s="0"/>
      <c r="ALO148" s="0"/>
      <c r="ALP148" s="0"/>
      <c r="ALQ148" s="0"/>
      <c r="ALR148" s="0"/>
      <c r="ALS148" s="0"/>
      <c r="ALT148" s="0"/>
      <c r="ALU148" s="0"/>
      <c r="ALV148" s="0"/>
      <c r="ALW148" s="0"/>
      <c r="ALX148" s="0"/>
      <c r="ALY148" s="0"/>
      <c r="ALZ148" s="0"/>
      <c r="AMA148" s="0"/>
      <c r="AMB148" s="0"/>
      <c r="AMC148" s="0"/>
      <c r="AMD148" s="0"/>
      <c r="AME148" s="0"/>
      <c r="AMF148" s="0"/>
      <c r="AMG148" s="0"/>
      <c r="AMH148" s="0"/>
      <c r="AMI148" s="0"/>
      <c r="AMJ148" s="0"/>
    </row>
    <row r="149" s="14" customFormat="true" ht="12.8" hidden="false" customHeight="false" outlineLevel="0" collapsed="false">
      <c r="A149" s="20" t="n">
        <v>25</v>
      </c>
      <c r="B149" s="6" t="n">
        <v>3</v>
      </c>
      <c r="C149" s="7" t="b">
        <v>0</v>
      </c>
      <c r="D149" s="7" t="b">
        <v>1</v>
      </c>
      <c r="E149" s="7" t="b">
        <v>1</v>
      </c>
      <c r="F149" s="6" t="n">
        <v>7</v>
      </c>
      <c r="G149" s="6"/>
      <c r="H149" s="16" t="b">
        <v>0</v>
      </c>
      <c r="I149" s="7"/>
      <c r="J149" s="7" t="b">
        <v>0</v>
      </c>
      <c r="K149" s="7" t="b">
        <v>1</v>
      </c>
      <c r="L149" s="6" t="n">
        <v>70</v>
      </c>
      <c r="M149" s="6" t="n">
        <v>28.1</v>
      </c>
      <c r="N149" s="6" t="n">
        <v>2</v>
      </c>
      <c r="O149" s="7" t="b">
        <v>1</v>
      </c>
      <c r="P149" s="7" t="b">
        <v>1</v>
      </c>
      <c r="Q149" s="7" t="b">
        <v>0</v>
      </c>
      <c r="R149" s="7" t="b">
        <v>0</v>
      </c>
      <c r="S149" s="7" t="b">
        <v>0</v>
      </c>
      <c r="T149" s="7" t="b">
        <v>0</v>
      </c>
      <c r="U149" s="7" t="b">
        <v>0</v>
      </c>
      <c r="V149" s="6" t="n">
        <v>0</v>
      </c>
      <c r="W149" s="17"/>
      <c r="X149" s="6" t="n">
        <v>0.7</v>
      </c>
      <c r="Y149" s="6" t="n">
        <v>7.16</v>
      </c>
      <c r="Z149" s="6" t="n">
        <f aca="false">(Y149*7.5006157584566)/X149</f>
        <v>76.7205840436418</v>
      </c>
      <c r="AA149" s="6" t="n">
        <v>270</v>
      </c>
      <c r="AB149" s="6" t="n">
        <v>2110</v>
      </c>
      <c r="AC149" s="6" t="n">
        <v>9.8</v>
      </c>
      <c r="AD149" s="6" t="n">
        <v>37.6</v>
      </c>
      <c r="AE149" s="7" t="b">
        <v>0</v>
      </c>
      <c r="AF149" s="7" t="b">
        <v>0</v>
      </c>
      <c r="AG149" s="7" t="b">
        <v>0</v>
      </c>
      <c r="AH149" s="7" t="b">
        <v>0</v>
      </c>
      <c r="AI149" s="7" t="b">
        <v>1</v>
      </c>
      <c r="AJ149" s="7" t="b">
        <v>0</v>
      </c>
      <c r="AKX149" s="0"/>
      <c r="AKY149" s="0"/>
      <c r="AKZ149" s="0"/>
      <c r="ALA149" s="0"/>
      <c r="ALB149" s="0"/>
      <c r="ALC149" s="0"/>
      <c r="ALD149" s="0"/>
      <c r="ALE149" s="0"/>
      <c r="ALF149" s="0"/>
      <c r="ALG149" s="0"/>
      <c r="ALH149" s="0"/>
      <c r="ALI149" s="0"/>
      <c r="ALJ149" s="0"/>
      <c r="ALK149" s="0"/>
      <c r="ALL149" s="0"/>
      <c r="ALM149" s="0"/>
      <c r="ALN149" s="0"/>
      <c r="ALO149" s="0"/>
      <c r="ALP149" s="0"/>
      <c r="ALQ149" s="0"/>
      <c r="ALR149" s="0"/>
      <c r="ALS149" s="0"/>
      <c r="ALT149" s="0"/>
      <c r="ALU149" s="0"/>
      <c r="ALV149" s="0"/>
      <c r="ALW149" s="0"/>
      <c r="ALX149" s="0"/>
      <c r="ALY149" s="0"/>
      <c r="ALZ149" s="0"/>
      <c r="AMA149" s="0"/>
      <c r="AMB149" s="0"/>
      <c r="AMC149" s="0"/>
      <c r="AMD149" s="0"/>
      <c r="AME149" s="0"/>
      <c r="AMF149" s="0"/>
      <c r="AMG149" s="0"/>
      <c r="AMH149" s="0"/>
      <c r="AMI149" s="0"/>
      <c r="AMJ149" s="0"/>
    </row>
    <row r="150" s="14" customFormat="true" ht="12.8" hidden="false" customHeight="false" outlineLevel="0" collapsed="false">
      <c r="A150" s="20" t="n">
        <v>26</v>
      </c>
      <c r="B150" s="6" t="n">
        <v>3</v>
      </c>
      <c r="C150" s="7" t="b">
        <v>0</v>
      </c>
      <c r="D150" s="7" t="b">
        <v>1</v>
      </c>
      <c r="E150" s="7" t="b">
        <v>1</v>
      </c>
      <c r="F150" s="6" t="n">
        <v>9</v>
      </c>
      <c r="G150" s="6"/>
      <c r="H150" s="16" t="b">
        <v>0</v>
      </c>
      <c r="I150" s="7"/>
      <c r="J150" s="7" t="b">
        <v>0</v>
      </c>
      <c r="K150" s="7" t="b">
        <v>0</v>
      </c>
      <c r="L150" s="6" t="n">
        <v>76</v>
      </c>
      <c r="M150" s="6" t="n">
        <v>25.4</v>
      </c>
      <c r="N150" s="6" t="n">
        <v>4</v>
      </c>
      <c r="O150" s="7" t="b">
        <v>0</v>
      </c>
      <c r="P150" s="7" t="b">
        <v>1</v>
      </c>
      <c r="Q150" s="7" t="b">
        <v>0</v>
      </c>
      <c r="R150" s="7" t="b">
        <v>0</v>
      </c>
      <c r="S150" s="7" t="b">
        <v>0</v>
      </c>
      <c r="T150" s="7" t="b">
        <v>0</v>
      </c>
      <c r="U150" s="7" t="b">
        <v>0</v>
      </c>
      <c r="V150" s="6" t="n">
        <v>0</v>
      </c>
      <c r="W150" s="17"/>
      <c r="X150" s="6" t="n">
        <v>0.5</v>
      </c>
      <c r="Y150" s="6" t="n">
        <v>9.5</v>
      </c>
      <c r="Z150" s="6" t="n">
        <f aca="false">(Y150*7.5006157584566)/X150</f>
        <v>142.511699410675</v>
      </c>
      <c r="AA150" s="6" t="n">
        <v>327</v>
      </c>
      <c r="AB150" s="6" t="n">
        <v>2323</v>
      </c>
      <c r="AC150" s="6" t="n">
        <v>80</v>
      </c>
      <c r="AD150" s="6" t="n">
        <v>37.9</v>
      </c>
      <c r="AE150" s="7" t="b">
        <v>0</v>
      </c>
      <c r="AF150" s="7" t="b">
        <v>0</v>
      </c>
      <c r="AG150" s="7" t="b">
        <v>0</v>
      </c>
      <c r="AH150" s="7" t="b">
        <v>0</v>
      </c>
      <c r="AI150" s="7" t="b">
        <v>0</v>
      </c>
      <c r="AJ150" s="7" t="b">
        <v>0</v>
      </c>
      <c r="AKX150" s="0"/>
      <c r="AKY150" s="0"/>
      <c r="AKZ150" s="0"/>
      <c r="ALA150" s="0"/>
      <c r="ALB150" s="0"/>
      <c r="ALC150" s="0"/>
      <c r="ALD150" s="0"/>
      <c r="ALE150" s="0"/>
      <c r="ALF150" s="0"/>
      <c r="ALG150" s="0"/>
      <c r="ALH150" s="0"/>
      <c r="ALI150" s="0"/>
      <c r="ALJ150" s="0"/>
      <c r="ALK150" s="0"/>
      <c r="ALL150" s="0"/>
      <c r="ALM150" s="0"/>
      <c r="ALN150" s="0"/>
      <c r="ALO150" s="0"/>
      <c r="ALP150" s="0"/>
      <c r="ALQ150" s="0"/>
      <c r="ALR150" s="0"/>
      <c r="ALS150" s="0"/>
      <c r="ALT150" s="0"/>
      <c r="ALU150" s="0"/>
      <c r="ALV150" s="0"/>
      <c r="ALW150" s="0"/>
      <c r="ALX150" s="0"/>
      <c r="ALY150" s="0"/>
      <c r="ALZ150" s="0"/>
      <c r="AMA150" s="0"/>
      <c r="AMB150" s="0"/>
      <c r="AMC150" s="0"/>
      <c r="AMD150" s="0"/>
      <c r="AME150" s="0"/>
      <c r="AMF150" s="0"/>
      <c r="AMG150" s="0"/>
      <c r="AMH150" s="0"/>
      <c r="AMI150" s="0"/>
      <c r="AMJ150" s="0"/>
    </row>
    <row r="151" s="14" customFormat="true" ht="12.8" hidden="false" customHeight="false" outlineLevel="0" collapsed="false">
      <c r="A151" s="20" t="n">
        <v>27</v>
      </c>
      <c r="B151" s="6" t="n">
        <v>3</v>
      </c>
      <c r="C151" s="7" t="b">
        <v>0</v>
      </c>
      <c r="D151" s="7" t="b">
        <v>1</v>
      </c>
      <c r="E151" s="7" t="b">
        <v>1</v>
      </c>
      <c r="F151" s="6" t="n">
        <v>12</v>
      </c>
      <c r="G151" s="6"/>
      <c r="H151" s="16" t="b">
        <v>0</v>
      </c>
      <c r="I151" s="7"/>
      <c r="J151" s="7" t="b">
        <v>0</v>
      </c>
      <c r="K151" s="7" t="b">
        <v>0</v>
      </c>
      <c r="L151" s="6" t="n">
        <v>62</v>
      </c>
      <c r="M151" s="6" t="n">
        <v>22.9</v>
      </c>
      <c r="N151" s="6" t="n">
        <v>1</v>
      </c>
      <c r="O151" s="7" t="b">
        <v>1</v>
      </c>
      <c r="P151" s="7" t="b">
        <v>1</v>
      </c>
      <c r="Q151" s="7" t="b">
        <v>0</v>
      </c>
      <c r="R151" s="7" t="b">
        <v>0</v>
      </c>
      <c r="S151" s="7" t="b">
        <v>0</v>
      </c>
      <c r="T151" s="7" t="b">
        <v>0</v>
      </c>
      <c r="U151" s="7" t="b">
        <v>0</v>
      </c>
      <c r="V151" s="6" t="n">
        <v>0</v>
      </c>
      <c r="W151" s="17" t="n">
        <v>10</v>
      </c>
      <c r="X151" s="6" t="n">
        <v>0.45</v>
      </c>
      <c r="Y151" s="6" t="n">
        <v>7.06</v>
      </c>
      <c r="Z151" s="6" t="n">
        <f aca="false">(Y151*7.5006157584566)/X151</f>
        <v>117.676327232675</v>
      </c>
      <c r="AA151" s="6" t="n">
        <v>191</v>
      </c>
      <c r="AB151" s="6" t="n">
        <v>156</v>
      </c>
      <c r="AC151" s="6" t="n">
        <v>12.98</v>
      </c>
      <c r="AD151" s="6" t="n">
        <v>38.8</v>
      </c>
      <c r="AE151" s="7" t="b">
        <v>0</v>
      </c>
      <c r="AF151" s="7" t="b">
        <v>0</v>
      </c>
      <c r="AG151" s="7" t="b">
        <v>0</v>
      </c>
      <c r="AH151" s="7" t="b">
        <v>0</v>
      </c>
      <c r="AI151" s="7" t="b">
        <v>0</v>
      </c>
      <c r="AJ151" s="7" t="b">
        <v>0</v>
      </c>
      <c r="AKX151" s="0"/>
      <c r="AKY151" s="0"/>
      <c r="AKZ151" s="0"/>
      <c r="ALA151" s="0"/>
      <c r="ALB151" s="0"/>
      <c r="ALC151" s="0"/>
      <c r="ALD151" s="0"/>
      <c r="ALE151" s="0"/>
      <c r="ALF151" s="0"/>
      <c r="ALG151" s="0"/>
      <c r="ALH151" s="0"/>
      <c r="ALI151" s="0"/>
      <c r="ALJ151" s="0"/>
      <c r="ALK151" s="0"/>
      <c r="ALL151" s="0"/>
      <c r="ALM151" s="0"/>
      <c r="ALN151" s="0"/>
      <c r="ALO151" s="0"/>
      <c r="ALP151" s="0"/>
      <c r="ALQ151" s="0"/>
      <c r="ALR151" s="0"/>
      <c r="ALS151" s="0"/>
      <c r="ALT151" s="0"/>
      <c r="ALU151" s="0"/>
      <c r="ALV151" s="0"/>
      <c r="ALW151" s="0"/>
      <c r="ALX151" s="0"/>
      <c r="ALY151" s="0"/>
      <c r="ALZ151" s="0"/>
      <c r="AMA151" s="0"/>
      <c r="AMB151" s="0"/>
      <c r="AMC151" s="0"/>
      <c r="AMD151" s="0"/>
      <c r="AME151" s="0"/>
      <c r="AMF151" s="0"/>
      <c r="AMG151" s="0"/>
      <c r="AMH151" s="0"/>
      <c r="AMI151" s="0"/>
      <c r="AMJ151" s="0"/>
    </row>
    <row r="152" s="14" customFormat="true" ht="12.8" hidden="false" customHeight="false" outlineLevel="0" collapsed="false">
      <c r="A152" s="20" t="n">
        <v>28</v>
      </c>
      <c r="B152" s="6" t="n">
        <v>3</v>
      </c>
      <c r="C152" s="7" t="b">
        <v>0</v>
      </c>
      <c r="D152" s="7" t="b">
        <v>1</v>
      </c>
      <c r="E152" s="7" t="b">
        <v>1</v>
      </c>
      <c r="F152" s="6" t="n">
        <v>11</v>
      </c>
      <c r="G152" s="6"/>
      <c r="H152" s="16" t="b">
        <v>0</v>
      </c>
      <c r="I152" s="7"/>
      <c r="J152" s="7" t="b">
        <v>1</v>
      </c>
      <c r="K152" s="7" t="b">
        <v>0</v>
      </c>
      <c r="L152" s="6" t="n">
        <v>62</v>
      </c>
      <c r="M152" s="6" t="n">
        <v>27.7</v>
      </c>
      <c r="N152" s="6" t="n">
        <v>1</v>
      </c>
      <c r="O152" s="7" t="b">
        <v>0</v>
      </c>
      <c r="P152" s="7" t="b">
        <v>0</v>
      </c>
      <c r="Q152" s="7" t="b">
        <v>0</v>
      </c>
      <c r="R152" s="7" t="b">
        <v>0</v>
      </c>
      <c r="S152" s="7" t="b">
        <v>1</v>
      </c>
      <c r="T152" s="7" t="b">
        <v>0</v>
      </c>
      <c r="U152" s="7" t="b">
        <v>0</v>
      </c>
      <c r="V152" s="6" t="n">
        <v>0</v>
      </c>
      <c r="W152" s="17" t="n">
        <v>12</v>
      </c>
      <c r="X152" s="6" t="n">
        <v>0.5</v>
      </c>
      <c r="Y152" s="6" t="n">
        <v>8</v>
      </c>
      <c r="Z152" s="6" t="n">
        <f aca="false">(Y152*7.5006157584566)/X152</f>
        <v>120.009852135306</v>
      </c>
      <c r="AA152" s="6" t="n">
        <v>274</v>
      </c>
      <c r="AB152" s="6" t="n">
        <v>10805</v>
      </c>
      <c r="AC152" s="6" t="n">
        <v>80</v>
      </c>
      <c r="AD152" s="6" t="n">
        <v>39.4</v>
      </c>
      <c r="AE152" s="7" t="b">
        <v>0</v>
      </c>
      <c r="AF152" s="7" t="b">
        <v>0</v>
      </c>
      <c r="AG152" s="7" t="b">
        <v>1</v>
      </c>
      <c r="AH152" s="7" t="b">
        <v>0</v>
      </c>
      <c r="AI152" s="7" t="b">
        <v>1</v>
      </c>
      <c r="AJ152" s="7" t="b">
        <v>0</v>
      </c>
      <c r="AKX152" s="0"/>
      <c r="AKY152" s="0"/>
      <c r="AKZ152" s="0"/>
      <c r="ALA152" s="0"/>
      <c r="ALB152" s="0"/>
      <c r="ALC152" s="0"/>
      <c r="ALD152" s="0"/>
      <c r="ALE152" s="0"/>
      <c r="ALF152" s="0"/>
      <c r="ALG152" s="0"/>
      <c r="ALH152" s="0"/>
      <c r="ALI152" s="0"/>
      <c r="ALJ152" s="0"/>
      <c r="ALK152" s="0"/>
      <c r="ALL152" s="0"/>
      <c r="ALM152" s="0"/>
      <c r="ALN152" s="0"/>
      <c r="ALO152" s="0"/>
      <c r="ALP152" s="0"/>
      <c r="ALQ152" s="0"/>
      <c r="ALR152" s="0"/>
      <c r="ALS152" s="0"/>
      <c r="ALT152" s="0"/>
      <c r="ALU152" s="0"/>
      <c r="ALV152" s="0"/>
      <c r="ALW152" s="0"/>
      <c r="ALX152" s="0"/>
      <c r="ALY152" s="0"/>
      <c r="ALZ152" s="0"/>
      <c r="AMA152" s="0"/>
      <c r="AMB152" s="0"/>
      <c r="AMC152" s="0"/>
      <c r="AMD152" s="0"/>
      <c r="AME152" s="0"/>
      <c r="AMF152" s="0"/>
      <c r="AMG152" s="0"/>
      <c r="AMH152" s="0"/>
      <c r="AMI152" s="0"/>
      <c r="AMJ152" s="0"/>
    </row>
    <row r="153" s="14" customFormat="true" ht="12.8" hidden="false" customHeight="false" outlineLevel="0" collapsed="false">
      <c r="A153" s="20" t="n">
        <v>29</v>
      </c>
      <c r="B153" s="6" t="n">
        <v>3</v>
      </c>
      <c r="C153" s="7" t="b">
        <v>0</v>
      </c>
      <c r="D153" s="7" t="b">
        <v>1</v>
      </c>
      <c r="E153" s="7" t="b">
        <v>1</v>
      </c>
      <c r="F153" s="6" t="n">
        <v>5</v>
      </c>
      <c r="G153" s="6"/>
      <c r="H153" s="16" t="b">
        <v>0</v>
      </c>
      <c r="I153" s="7"/>
      <c r="J153" s="7" t="b">
        <v>0</v>
      </c>
      <c r="K153" s="7" t="b">
        <v>0</v>
      </c>
      <c r="L153" s="6" t="n">
        <v>74</v>
      </c>
      <c r="M153" s="6" t="n">
        <v>30.9</v>
      </c>
      <c r="N153" s="6" t="n">
        <v>0</v>
      </c>
      <c r="O153" s="7" t="b">
        <v>0</v>
      </c>
      <c r="P153" s="7" t="b">
        <v>1</v>
      </c>
      <c r="Q153" s="7" t="b">
        <v>1</v>
      </c>
      <c r="R153" s="7" t="b">
        <v>0</v>
      </c>
      <c r="S153" s="7" t="b">
        <v>0</v>
      </c>
      <c r="T153" s="7" t="b">
        <v>0</v>
      </c>
      <c r="U153" s="7" t="b">
        <v>0</v>
      </c>
      <c r="V153" s="6" t="n">
        <v>0</v>
      </c>
      <c r="W153" s="17" t="n">
        <v>12</v>
      </c>
      <c r="X153" s="6" t="n">
        <v>1</v>
      </c>
      <c r="Y153" s="6" t="n">
        <v>5.68</v>
      </c>
      <c r="Z153" s="6" t="n">
        <f aca="false">(Y153*7.5006157584566)/X153</f>
        <v>42.6034975080335</v>
      </c>
      <c r="AA153" s="6" t="n">
        <v>250</v>
      </c>
      <c r="AB153" s="6" t="n">
        <v>5145</v>
      </c>
      <c r="AC153" s="6" t="n">
        <v>2.87</v>
      </c>
      <c r="AD153" s="6" t="n">
        <v>41</v>
      </c>
      <c r="AE153" s="7" t="b">
        <v>1</v>
      </c>
      <c r="AF153" s="7" t="b">
        <v>0</v>
      </c>
      <c r="AG153" s="7" t="b">
        <v>0</v>
      </c>
      <c r="AH153" s="7" t="b">
        <v>0</v>
      </c>
      <c r="AI153" s="7" t="b">
        <v>1</v>
      </c>
      <c r="AJ153" s="7" t="b">
        <v>0</v>
      </c>
      <c r="AKX153" s="0"/>
      <c r="AKY153" s="0"/>
      <c r="AKZ153" s="0"/>
      <c r="ALA153" s="0"/>
      <c r="ALB153" s="0"/>
      <c r="ALC153" s="0"/>
      <c r="ALD153" s="0"/>
      <c r="ALE153" s="0"/>
      <c r="ALF153" s="0"/>
      <c r="ALG153" s="0"/>
      <c r="ALH153" s="0"/>
      <c r="ALI153" s="0"/>
      <c r="ALJ153" s="0"/>
      <c r="ALK153" s="0"/>
      <c r="ALL153" s="0"/>
      <c r="ALM153" s="0"/>
      <c r="ALN153" s="0"/>
      <c r="ALO153" s="0"/>
      <c r="ALP153" s="0"/>
      <c r="ALQ153" s="0"/>
      <c r="ALR153" s="0"/>
      <c r="ALS153" s="0"/>
      <c r="ALT153" s="0"/>
      <c r="ALU153" s="0"/>
      <c r="ALV153" s="0"/>
      <c r="ALW153" s="0"/>
      <c r="ALX153" s="0"/>
      <c r="ALY153" s="0"/>
      <c r="ALZ153" s="0"/>
      <c r="AMA153" s="0"/>
      <c r="AMB153" s="0"/>
      <c r="AMC153" s="0"/>
      <c r="AMD153" s="0"/>
      <c r="AME153" s="0"/>
      <c r="AMF153" s="0"/>
      <c r="AMG153" s="0"/>
      <c r="AMH153" s="0"/>
      <c r="AMI153" s="0"/>
      <c r="AMJ153" s="0"/>
    </row>
    <row r="154" s="14" customFormat="true" ht="12.8" hidden="false" customHeight="false" outlineLevel="0" collapsed="false">
      <c r="A154" s="20" t="n">
        <v>32</v>
      </c>
      <c r="B154" s="6" t="n">
        <v>3</v>
      </c>
      <c r="C154" s="7" t="b">
        <v>0</v>
      </c>
      <c r="D154" s="7" t="b">
        <v>1</v>
      </c>
      <c r="E154" s="7" t="b">
        <v>1</v>
      </c>
      <c r="F154" s="6" t="n">
        <v>1</v>
      </c>
      <c r="G154" s="6"/>
      <c r="H154" s="16"/>
      <c r="I154" s="7"/>
      <c r="J154" s="7"/>
      <c r="K154" s="7" t="b">
        <v>0</v>
      </c>
      <c r="L154" s="6" t="n">
        <v>80</v>
      </c>
      <c r="M154" s="6" t="n">
        <v>24.2</v>
      </c>
      <c r="N154" s="6" t="n">
        <v>1</v>
      </c>
      <c r="O154" s="7" t="b">
        <v>1</v>
      </c>
      <c r="P154" s="7" t="b">
        <v>0</v>
      </c>
      <c r="Q154" s="7" t="b">
        <v>1</v>
      </c>
      <c r="R154" s="7" t="b">
        <v>0</v>
      </c>
      <c r="S154" s="7" t="b">
        <v>0</v>
      </c>
      <c r="T154" s="7" t="b">
        <v>0</v>
      </c>
      <c r="U154" s="7" t="b">
        <v>0</v>
      </c>
      <c r="V154" s="6" t="n">
        <v>0</v>
      </c>
      <c r="W154" s="17"/>
      <c r="X154" s="6"/>
      <c r="Y154" s="6"/>
      <c r="Z154" s="6"/>
      <c r="AA154" s="6"/>
      <c r="AB154" s="6"/>
      <c r="AC154" s="6"/>
      <c r="AD154" s="6"/>
      <c r="AE154" s="7"/>
      <c r="AF154" s="7"/>
      <c r="AG154" s="7"/>
      <c r="AH154" s="7"/>
      <c r="AI154" s="7"/>
      <c r="AJ154" s="7" t="b">
        <v>0</v>
      </c>
      <c r="AKX154" s="0"/>
      <c r="AKY154" s="0"/>
      <c r="AKZ154" s="0"/>
      <c r="ALA154" s="0"/>
      <c r="ALB154" s="0"/>
      <c r="ALC154" s="0"/>
      <c r="ALD154" s="0"/>
      <c r="ALE154" s="0"/>
      <c r="ALF154" s="0"/>
      <c r="ALG154" s="0"/>
      <c r="ALH154" s="0"/>
      <c r="ALI154" s="0"/>
      <c r="ALJ154" s="0"/>
      <c r="ALK154" s="0"/>
      <c r="ALL154" s="0"/>
      <c r="ALM154" s="0"/>
      <c r="ALN154" s="0"/>
      <c r="ALO154" s="0"/>
      <c r="ALP154" s="0"/>
      <c r="ALQ154" s="0"/>
      <c r="ALR154" s="0"/>
      <c r="ALS154" s="0"/>
      <c r="ALT154" s="0"/>
      <c r="ALU154" s="0"/>
      <c r="ALV154" s="0"/>
      <c r="ALW154" s="0"/>
      <c r="ALX154" s="0"/>
      <c r="ALY154" s="0"/>
      <c r="ALZ154" s="0"/>
      <c r="AMA154" s="0"/>
      <c r="AMB154" s="0"/>
      <c r="AMC154" s="0"/>
      <c r="AMD154" s="0"/>
      <c r="AME154" s="0"/>
      <c r="AMF154" s="0"/>
      <c r="AMG154" s="0"/>
      <c r="AMH154" s="0"/>
      <c r="AMI154" s="0"/>
      <c r="AMJ154" s="0"/>
    </row>
    <row r="155" s="14" customFormat="true" ht="12.8" hidden="false" customHeight="false" outlineLevel="0" collapsed="false">
      <c r="A155" s="20" t="n">
        <v>33</v>
      </c>
      <c r="B155" s="6" t="n">
        <v>3</v>
      </c>
      <c r="C155" s="7" t="b">
        <v>0</v>
      </c>
      <c r="D155" s="7" t="b">
        <v>1</v>
      </c>
      <c r="E155" s="7" t="b">
        <v>1</v>
      </c>
      <c r="F155" s="6" t="n">
        <v>1</v>
      </c>
      <c r="G155" s="6"/>
      <c r="H155" s="16"/>
      <c r="I155" s="7"/>
      <c r="J155" s="7"/>
      <c r="K155" s="7" t="b">
        <v>1</v>
      </c>
      <c r="L155" s="6" t="n">
        <v>22</v>
      </c>
      <c r="M155" s="6" t="n">
        <v>21.5</v>
      </c>
      <c r="N155" s="6" t="n">
        <v>1</v>
      </c>
      <c r="O155" s="7" t="b">
        <v>0</v>
      </c>
      <c r="P155" s="7" t="b">
        <v>0</v>
      </c>
      <c r="Q155" s="7" t="b">
        <v>0</v>
      </c>
      <c r="R155" s="7" t="b">
        <v>0</v>
      </c>
      <c r="S155" s="7" t="b">
        <v>0</v>
      </c>
      <c r="T155" s="7" t="b">
        <v>0</v>
      </c>
      <c r="U155" s="7" t="b">
        <v>0</v>
      </c>
      <c r="V155" s="6" t="n">
        <v>0</v>
      </c>
      <c r="W155" s="17"/>
      <c r="X155" s="6"/>
      <c r="Y155" s="6"/>
      <c r="Z155" s="6"/>
      <c r="AA155" s="6"/>
      <c r="AB155" s="6"/>
      <c r="AC155" s="6"/>
      <c r="AD155" s="6"/>
      <c r="AE155" s="7"/>
      <c r="AF155" s="7"/>
      <c r="AG155" s="7"/>
      <c r="AH155" s="7"/>
      <c r="AI155" s="7"/>
      <c r="AJ155" s="7" t="b">
        <v>0</v>
      </c>
      <c r="AKX155" s="0"/>
      <c r="AKY155" s="0"/>
      <c r="AKZ155" s="0"/>
      <c r="ALA155" s="0"/>
      <c r="ALB155" s="0"/>
      <c r="ALC155" s="0"/>
      <c r="ALD155" s="0"/>
      <c r="ALE155" s="0"/>
      <c r="ALF155" s="0"/>
      <c r="ALG155" s="0"/>
      <c r="ALH155" s="0"/>
      <c r="ALI155" s="0"/>
      <c r="ALJ155" s="0"/>
      <c r="ALK155" s="0"/>
      <c r="ALL155" s="0"/>
      <c r="ALM155" s="0"/>
      <c r="ALN155" s="0"/>
      <c r="ALO155" s="0"/>
      <c r="ALP155" s="0"/>
      <c r="ALQ155" s="0"/>
      <c r="ALR155" s="0"/>
      <c r="ALS155" s="0"/>
      <c r="ALT155" s="0"/>
      <c r="ALU155" s="0"/>
      <c r="ALV155" s="0"/>
      <c r="ALW155" s="0"/>
      <c r="ALX155" s="0"/>
      <c r="ALY155" s="0"/>
      <c r="ALZ155" s="0"/>
      <c r="AMA155" s="0"/>
      <c r="AMB155" s="0"/>
      <c r="AMC155" s="0"/>
      <c r="AMD155" s="0"/>
      <c r="AME155" s="0"/>
      <c r="AMF155" s="0"/>
      <c r="AMG155" s="0"/>
      <c r="AMH155" s="0"/>
      <c r="AMI155" s="0"/>
      <c r="AMJ155" s="0"/>
    </row>
    <row r="156" s="14" customFormat="true" ht="12.8" hidden="false" customHeight="false" outlineLevel="0" collapsed="false">
      <c r="A156" s="20" t="n">
        <v>34</v>
      </c>
      <c r="B156" s="6" t="n">
        <v>3</v>
      </c>
      <c r="C156" s="7" t="b">
        <v>0</v>
      </c>
      <c r="D156" s="7" t="b">
        <v>1</v>
      </c>
      <c r="E156" s="7" t="b">
        <v>1</v>
      </c>
      <c r="F156" s="6" t="n">
        <v>17</v>
      </c>
      <c r="G156" s="6"/>
      <c r="H156" s="16" t="b">
        <v>0</v>
      </c>
      <c r="I156" s="7"/>
      <c r="J156" s="7" t="b">
        <v>0</v>
      </c>
      <c r="K156" s="7" t="b">
        <v>1</v>
      </c>
      <c r="L156" s="6" t="n">
        <v>82</v>
      </c>
      <c r="M156" s="6" t="n">
        <v>23.4</v>
      </c>
      <c r="N156" s="6" t="n">
        <v>1</v>
      </c>
      <c r="O156" s="7" t="b">
        <v>1</v>
      </c>
      <c r="P156" s="7" t="b">
        <v>1</v>
      </c>
      <c r="Q156" s="7" t="b">
        <v>0</v>
      </c>
      <c r="R156" s="7" t="b">
        <v>0</v>
      </c>
      <c r="S156" s="7" t="b">
        <v>0</v>
      </c>
      <c r="T156" s="7" t="b">
        <v>1</v>
      </c>
      <c r="U156" s="7" t="b">
        <v>0</v>
      </c>
      <c r="V156" s="6" t="n">
        <v>0</v>
      </c>
      <c r="W156" s="17" t="n">
        <v>8</v>
      </c>
      <c r="X156" s="6" t="n">
        <v>0.5</v>
      </c>
      <c r="Y156" s="6" t="n">
        <v>9.01</v>
      </c>
      <c r="Z156" s="6" t="n">
        <f aca="false">(Y156*7.5006157584566)/X156</f>
        <v>135.161095967388</v>
      </c>
      <c r="AA156" s="6" t="n">
        <v>233</v>
      </c>
      <c r="AB156" s="6" t="n">
        <v>266</v>
      </c>
      <c r="AC156" s="6" t="n">
        <v>5.67</v>
      </c>
      <c r="AD156" s="6" t="n">
        <v>37.5</v>
      </c>
      <c r="AE156" s="7" t="b">
        <v>0</v>
      </c>
      <c r="AF156" s="7" t="b">
        <v>0</v>
      </c>
      <c r="AG156" s="7" t="b">
        <v>0</v>
      </c>
      <c r="AH156" s="7" t="b">
        <v>0</v>
      </c>
      <c r="AI156" s="7" t="b">
        <v>0</v>
      </c>
      <c r="AJ156" s="7" t="b">
        <v>0</v>
      </c>
      <c r="AKX156" s="0"/>
      <c r="AKY156" s="0"/>
      <c r="AKZ156" s="0"/>
      <c r="ALA156" s="0"/>
      <c r="ALB156" s="0"/>
      <c r="ALC156" s="0"/>
      <c r="ALD156" s="0"/>
      <c r="ALE156" s="0"/>
      <c r="ALF156" s="0"/>
      <c r="ALG156" s="0"/>
      <c r="ALH156" s="0"/>
      <c r="ALI156" s="0"/>
      <c r="ALJ156" s="0"/>
      <c r="ALK156" s="0"/>
      <c r="ALL156" s="0"/>
      <c r="ALM156" s="0"/>
      <c r="ALN156" s="0"/>
      <c r="ALO156" s="0"/>
      <c r="ALP156" s="0"/>
      <c r="ALQ156" s="0"/>
      <c r="ALR156" s="0"/>
      <c r="ALS156" s="0"/>
      <c r="ALT156" s="0"/>
      <c r="ALU156" s="0"/>
      <c r="ALV156" s="0"/>
      <c r="ALW156" s="0"/>
      <c r="ALX156" s="0"/>
      <c r="ALY156" s="0"/>
      <c r="ALZ156" s="0"/>
      <c r="AMA156" s="0"/>
      <c r="AMB156" s="0"/>
      <c r="AMC156" s="0"/>
      <c r="AMD156" s="0"/>
      <c r="AME156" s="0"/>
      <c r="AMF156" s="0"/>
      <c r="AMG156" s="0"/>
      <c r="AMH156" s="0"/>
      <c r="AMI156" s="0"/>
      <c r="AMJ156" s="0"/>
    </row>
    <row r="157" s="14" customFormat="true" ht="12.8" hidden="false" customHeight="false" outlineLevel="0" collapsed="false">
      <c r="A157" s="20" t="n">
        <v>35</v>
      </c>
      <c r="B157" s="6" t="n">
        <v>3</v>
      </c>
      <c r="C157" s="7" t="b">
        <v>0</v>
      </c>
      <c r="D157" s="7" t="b">
        <v>1</v>
      </c>
      <c r="E157" s="7" t="b">
        <v>1</v>
      </c>
      <c r="F157" s="6" t="n">
        <v>10</v>
      </c>
      <c r="G157" s="6"/>
      <c r="H157" s="16" t="b">
        <v>0</v>
      </c>
      <c r="I157" s="7"/>
      <c r="J157" s="7" t="b">
        <v>0</v>
      </c>
      <c r="K157" s="7" t="b">
        <v>0</v>
      </c>
      <c r="L157" s="6" t="n">
        <v>58</v>
      </c>
      <c r="M157" s="6" t="n">
        <v>34.7</v>
      </c>
      <c r="N157" s="6" t="n">
        <v>1</v>
      </c>
      <c r="O157" s="7" t="b">
        <v>1</v>
      </c>
      <c r="P157" s="7" t="b">
        <v>1</v>
      </c>
      <c r="Q157" s="7" t="b">
        <v>0</v>
      </c>
      <c r="R157" s="7" t="b">
        <v>0</v>
      </c>
      <c r="S157" s="7" t="b">
        <v>1</v>
      </c>
      <c r="T157" s="7" t="b">
        <v>0</v>
      </c>
      <c r="U157" s="7" t="b">
        <v>0</v>
      </c>
      <c r="V157" s="6" t="n">
        <v>1</v>
      </c>
      <c r="W157" s="17" t="n">
        <v>12</v>
      </c>
      <c r="X157" s="6" t="n">
        <v>0.35</v>
      </c>
      <c r="Y157" s="6" t="n">
        <v>7.38</v>
      </c>
      <c r="Z157" s="6" t="n">
        <f aca="false">(Y157*7.5006157584566)/X157</f>
        <v>158.155840849742</v>
      </c>
      <c r="AA157" s="6" t="n">
        <v>259</v>
      </c>
      <c r="AB157" s="6" t="n">
        <v>2625</v>
      </c>
      <c r="AC157" s="6" t="n">
        <v>2.82</v>
      </c>
      <c r="AD157" s="6" t="n">
        <v>38.5</v>
      </c>
      <c r="AE157" s="7" t="b">
        <v>0</v>
      </c>
      <c r="AF157" s="7" t="b">
        <v>1</v>
      </c>
      <c r="AG157" s="7" t="b">
        <v>0</v>
      </c>
      <c r="AH157" s="7" t="b">
        <v>0</v>
      </c>
      <c r="AI157" s="7" t="b">
        <v>1</v>
      </c>
      <c r="AJ157" s="7" t="b">
        <v>0</v>
      </c>
      <c r="AKX157" s="0"/>
      <c r="AKY157" s="0"/>
      <c r="AKZ157" s="0"/>
      <c r="ALA157" s="0"/>
      <c r="ALB157" s="0"/>
      <c r="ALC157" s="0"/>
      <c r="ALD157" s="0"/>
      <c r="ALE157" s="0"/>
      <c r="ALF157" s="0"/>
      <c r="ALG157" s="0"/>
      <c r="ALH157" s="0"/>
      <c r="ALI157" s="0"/>
      <c r="ALJ157" s="0"/>
      <c r="ALK157" s="0"/>
      <c r="ALL157" s="0"/>
      <c r="ALM157" s="0"/>
      <c r="ALN157" s="0"/>
      <c r="ALO157" s="0"/>
      <c r="ALP157" s="0"/>
      <c r="ALQ157" s="0"/>
      <c r="ALR157" s="0"/>
      <c r="ALS157" s="0"/>
      <c r="ALT157" s="0"/>
      <c r="ALU157" s="0"/>
      <c r="ALV157" s="0"/>
      <c r="ALW157" s="0"/>
      <c r="ALX157" s="0"/>
      <c r="ALY157" s="0"/>
      <c r="ALZ157" s="0"/>
      <c r="AMA157" s="0"/>
      <c r="AMB157" s="0"/>
      <c r="AMC157" s="0"/>
      <c r="AMD157" s="0"/>
      <c r="AME157" s="0"/>
      <c r="AMF157" s="0"/>
      <c r="AMG157" s="0"/>
      <c r="AMH157" s="0"/>
      <c r="AMI157" s="0"/>
      <c r="AMJ157" s="0"/>
    </row>
    <row r="158" s="14" customFormat="true" ht="12.8" hidden="false" customHeight="false" outlineLevel="0" collapsed="false">
      <c r="A158" s="20" t="n">
        <v>37</v>
      </c>
      <c r="B158" s="6" t="n">
        <v>3</v>
      </c>
      <c r="C158" s="7" t="b">
        <v>0</v>
      </c>
      <c r="D158" s="7" t="b">
        <v>1</v>
      </c>
      <c r="E158" s="7" t="b">
        <v>1</v>
      </c>
      <c r="F158" s="6" t="n">
        <v>2</v>
      </c>
      <c r="G158" s="6"/>
      <c r="H158" s="16"/>
      <c r="I158" s="7"/>
      <c r="J158" s="7"/>
      <c r="K158" s="7" t="b">
        <v>1</v>
      </c>
      <c r="L158" s="6" t="n">
        <v>62</v>
      </c>
      <c r="M158" s="6" t="n">
        <v>26.2</v>
      </c>
      <c r="N158" s="6" t="n">
        <v>0</v>
      </c>
      <c r="O158" s="7" t="b">
        <v>0</v>
      </c>
      <c r="P158" s="7" t="b">
        <v>0</v>
      </c>
      <c r="Q158" s="7" t="b">
        <v>0</v>
      </c>
      <c r="R158" s="7" t="b">
        <v>1</v>
      </c>
      <c r="S158" s="7" t="b">
        <v>0</v>
      </c>
      <c r="T158" s="7" t="b">
        <v>0</v>
      </c>
      <c r="U158" s="7" t="b">
        <v>1</v>
      </c>
      <c r="V158" s="6" t="n">
        <v>1</v>
      </c>
      <c r="W158" s="17"/>
      <c r="X158" s="6"/>
      <c r="Y158" s="6"/>
      <c r="Z158" s="6"/>
      <c r="AA158" s="6"/>
      <c r="AB158" s="6"/>
      <c r="AC158" s="6"/>
      <c r="AD158" s="6"/>
      <c r="AE158" s="7"/>
      <c r="AF158" s="7"/>
      <c r="AG158" s="7"/>
      <c r="AH158" s="7"/>
      <c r="AI158" s="7"/>
      <c r="AJ158" s="7" t="b">
        <v>0</v>
      </c>
      <c r="AKX158" s="0"/>
      <c r="AKY158" s="0"/>
      <c r="AKZ158" s="0"/>
      <c r="ALA158" s="0"/>
      <c r="ALB158" s="0"/>
      <c r="ALC158" s="0"/>
      <c r="ALD158" s="0"/>
      <c r="ALE158" s="0"/>
      <c r="ALF158" s="0"/>
      <c r="ALG158" s="0"/>
      <c r="ALH158" s="0"/>
      <c r="ALI158" s="0"/>
      <c r="ALJ158" s="0"/>
      <c r="ALK158" s="0"/>
      <c r="ALL158" s="0"/>
      <c r="ALM158" s="0"/>
      <c r="ALN158" s="0"/>
      <c r="ALO158" s="0"/>
      <c r="ALP158" s="0"/>
      <c r="ALQ158" s="0"/>
      <c r="ALR158" s="0"/>
      <c r="ALS158" s="0"/>
      <c r="ALT158" s="0"/>
      <c r="ALU158" s="0"/>
      <c r="ALV158" s="0"/>
      <c r="ALW158" s="0"/>
      <c r="ALX158" s="0"/>
      <c r="ALY158" s="0"/>
      <c r="ALZ158" s="0"/>
      <c r="AMA158" s="0"/>
      <c r="AMB158" s="0"/>
      <c r="AMC158" s="0"/>
      <c r="AMD158" s="0"/>
      <c r="AME158" s="0"/>
      <c r="AMF158" s="0"/>
      <c r="AMG158" s="0"/>
      <c r="AMH158" s="0"/>
      <c r="AMI158" s="0"/>
      <c r="AMJ158" s="0"/>
    </row>
    <row r="159" s="14" customFormat="true" ht="12.8" hidden="false" customHeight="false" outlineLevel="0" collapsed="false">
      <c r="A159" s="20" t="n">
        <v>41</v>
      </c>
      <c r="B159" s="6" t="n">
        <v>3</v>
      </c>
      <c r="C159" s="7" t="b">
        <v>0</v>
      </c>
      <c r="D159" s="7" t="b">
        <v>1</v>
      </c>
      <c r="E159" s="7" t="b">
        <v>1</v>
      </c>
      <c r="F159" s="6" t="n">
        <v>14</v>
      </c>
      <c r="G159" s="6"/>
      <c r="H159" s="16" t="b">
        <v>0</v>
      </c>
      <c r="I159" s="7" t="b">
        <v>0</v>
      </c>
      <c r="J159" s="7" t="b">
        <v>0</v>
      </c>
      <c r="K159" s="7" t="b">
        <v>0</v>
      </c>
      <c r="L159" s="6" t="n">
        <v>62</v>
      </c>
      <c r="M159" s="6" t="n">
        <v>23.4</v>
      </c>
      <c r="N159" s="6" t="n">
        <v>0</v>
      </c>
      <c r="O159" s="7" t="b">
        <v>0</v>
      </c>
      <c r="P159" s="7" t="b">
        <v>1</v>
      </c>
      <c r="Q159" s="7" t="b">
        <v>1</v>
      </c>
      <c r="R159" s="7" t="b">
        <v>1</v>
      </c>
      <c r="S159" s="7" t="b">
        <v>0</v>
      </c>
      <c r="T159" s="7" t="b">
        <v>0</v>
      </c>
      <c r="U159" s="7" t="b">
        <v>0</v>
      </c>
      <c r="V159" s="6" t="n">
        <v>0</v>
      </c>
      <c r="W159" s="17" t="n">
        <v>6</v>
      </c>
      <c r="X159" s="6" t="n">
        <v>0.35</v>
      </c>
      <c r="Y159" s="6" t="n">
        <v>8.46</v>
      </c>
      <c r="Z159" s="6" t="n">
        <f aca="false">(Y159*7.5006157584566)/X159</f>
        <v>181.300598047265</v>
      </c>
      <c r="AA159" s="6" t="n">
        <v>195</v>
      </c>
      <c r="AB159" s="6" t="n">
        <v>552</v>
      </c>
      <c r="AC159" s="6" t="n">
        <v>1.22</v>
      </c>
      <c r="AD159" s="6" t="n">
        <v>39.2</v>
      </c>
      <c r="AE159" s="7" t="b">
        <v>1</v>
      </c>
      <c r="AF159" s="7" t="b">
        <v>0</v>
      </c>
      <c r="AG159" s="7" t="b">
        <v>0</v>
      </c>
      <c r="AH159" s="7" t="b">
        <v>0</v>
      </c>
      <c r="AI159" s="7" t="b">
        <v>1</v>
      </c>
      <c r="AJ159" s="7" t="b">
        <v>0</v>
      </c>
      <c r="AKX159" s="0"/>
      <c r="AKY159" s="0"/>
      <c r="AKZ159" s="0"/>
      <c r="ALA159" s="0"/>
      <c r="ALB159" s="0"/>
      <c r="ALC159" s="0"/>
      <c r="ALD159" s="0"/>
      <c r="ALE159" s="0"/>
      <c r="ALF159" s="0"/>
      <c r="ALG159" s="0"/>
      <c r="ALH159" s="0"/>
      <c r="ALI159" s="0"/>
      <c r="ALJ159" s="0"/>
      <c r="ALK159" s="0"/>
      <c r="ALL159" s="0"/>
      <c r="ALM159" s="0"/>
      <c r="ALN159" s="0"/>
      <c r="ALO159" s="0"/>
      <c r="ALP159" s="0"/>
      <c r="ALQ159" s="0"/>
      <c r="ALR159" s="0"/>
      <c r="ALS159" s="0"/>
      <c r="ALT159" s="0"/>
      <c r="ALU159" s="0"/>
      <c r="ALV159" s="0"/>
      <c r="ALW159" s="0"/>
      <c r="ALX159" s="0"/>
      <c r="ALY159" s="0"/>
      <c r="ALZ159" s="0"/>
      <c r="AMA159" s="0"/>
      <c r="AMB159" s="0"/>
      <c r="AMC159" s="0"/>
      <c r="AMD159" s="0"/>
      <c r="AME159" s="0"/>
      <c r="AMF159" s="0"/>
      <c r="AMG159" s="0"/>
      <c r="AMH159" s="0"/>
      <c r="AMI159" s="0"/>
      <c r="AMJ159" s="0"/>
    </row>
    <row r="160" s="14" customFormat="true" ht="12.8" hidden="false" customHeight="false" outlineLevel="0" collapsed="false">
      <c r="A160" s="20" t="n">
        <v>42</v>
      </c>
      <c r="B160" s="6" t="n">
        <v>3</v>
      </c>
      <c r="C160" s="7" t="b">
        <v>0</v>
      </c>
      <c r="D160" s="7" t="b">
        <v>1</v>
      </c>
      <c r="E160" s="7" t="b">
        <v>1</v>
      </c>
      <c r="F160" s="6" t="n">
        <v>12</v>
      </c>
      <c r="G160" s="6"/>
      <c r="H160" s="16" t="b">
        <v>0</v>
      </c>
      <c r="I160" s="7" t="b">
        <v>0</v>
      </c>
      <c r="J160" s="7" t="b">
        <v>0</v>
      </c>
      <c r="K160" s="7" t="b">
        <v>0</v>
      </c>
      <c r="L160" s="6" t="n">
        <v>57</v>
      </c>
      <c r="M160" s="6" t="n">
        <v>31.9</v>
      </c>
      <c r="N160" s="6" t="n">
        <v>1</v>
      </c>
      <c r="O160" s="7" t="b">
        <v>0</v>
      </c>
      <c r="P160" s="7" t="b">
        <v>1</v>
      </c>
      <c r="Q160" s="7" t="b">
        <v>0</v>
      </c>
      <c r="R160" s="7" t="b">
        <v>0</v>
      </c>
      <c r="S160" s="7" t="b">
        <v>1</v>
      </c>
      <c r="T160" s="7" t="b">
        <v>0</v>
      </c>
      <c r="U160" s="7" t="b">
        <v>0</v>
      </c>
      <c r="V160" s="6" t="n">
        <v>0</v>
      </c>
      <c r="W160" s="17"/>
      <c r="X160" s="6" t="n">
        <v>1</v>
      </c>
      <c r="Y160" s="6" t="n">
        <v>7.13</v>
      </c>
      <c r="Z160" s="6" t="n">
        <f aca="false">(Y160*7.5006157584566)/X160</f>
        <v>53.4793903577956</v>
      </c>
      <c r="AA160" s="6" t="n">
        <v>338</v>
      </c>
      <c r="AB160" s="6" t="n">
        <v>1171</v>
      </c>
      <c r="AC160" s="6" t="n">
        <v>16.25</v>
      </c>
      <c r="AD160" s="6" t="n">
        <v>37.1</v>
      </c>
      <c r="AE160" s="7" t="b">
        <v>1</v>
      </c>
      <c r="AF160" s="7" t="b">
        <v>1</v>
      </c>
      <c r="AG160" s="7" t="b">
        <v>0</v>
      </c>
      <c r="AH160" s="7" t="b">
        <v>0</v>
      </c>
      <c r="AI160" s="7" t="b">
        <v>0</v>
      </c>
      <c r="AJ160" s="7" t="b">
        <v>0</v>
      </c>
      <c r="AKX160" s="0"/>
      <c r="AKY160" s="0"/>
      <c r="AKZ160" s="0"/>
      <c r="ALA160" s="0"/>
      <c r="ALB160" s="0"/>
      <c r="ALC160" s="0"/>
      <c r="ALD160" s="0"/>
      <c r="ALE160" s="0"/>
      <c r="ALF160" s="0"/>
      <c r="ALG160" s="0"/>
      <c r="ALH160" s="0"/>
      <c r="ALI160" s="0"/>
      <c r="ALJ160" s="0"/>
      <c r="ALK160" s="0"/>
      <c r="ALL160" s="0"/>
      <c r="ALM160" s="0"/>
      <c r="ALN160" s="0"/>
      <c r="ALO160" s="0"/>
      <c r="ALP160" s="0"/>
      <c r="ALQ160" s="0"/>
      <c r="ALR160" s="0"/>
      <c r="ALS160" s="0"/>
      <c r="ALT160" s="0"/>
      <c r="ALU160" s="0"/>
      <c r="ALV160" s="0"/>
      <c r="ALW160" s="0"/>
      <c r="ALX160" s="0"/>
      <c r="ALY160" s="0"/>
      <c r="ALZ160" s="0"/>
      <c r="AMA160" s="0"/>
      <c r="AMB160" s="0"/>
      <c r="AMC160" s="0"/>
      <c r="AMD160" s="0"/>
      <c r="AME160" s="0"/>
      <c r="AMF160" s="0"/>
      <c r="AMG160" s="0"/>
      <c r="AMH160" s="0"/>
      <c r="AMI160" s="0"/>
      <c r="AMJ160" s="0"/>
    </row>
    <row r="161" s="14" customFormat="true" ht="12.8" hidden="false" customHeight="false" outlineLevel="0" collapsed="false">
      <c r="A161" s="20" t="n">
        <v>43</v>
      </c>
      <c r="B161" s="6" t="n">
        <v>3</v>
      </c>
      <c r="C161" s="7" t="b">
        <v>0</v>
      </c>
      <c r="D161" s="7" t="b">
        <v>1</v>
      </c>
      <c r="E161" s="7" t="b">
        <v>1</v>
      </c>
      <c r="F161" s="6" t="n">
        <v>13</v>
      </c>
      <c r="G161" s="6"/>
      <c r="H161" s="16" t="b">
        <v>0</v>
      </c>
      <c r="I161" s="7" t="b">
        <v>0</v>
      </c>
      <c r="J161" s="7" t="b">
        <v>0</v>
      </c>
      <c r="K161" s="7" t="b">
        <v>0</v>
      </c>
      <c r="L161" s="6" t="n">
        <v>55</v>
      </c>
      <c r="M161" s="6" t="n">
        <v>27.8</v>
      </c>
      <c r="N161" s="6" t="n">
        <v>1</v>
      </c>
      <c r="O161" s="7" t="b">
        <v>1</v>
      </c>
      <c r="P161" s="7" t="b">
        <v>1</v>
      </c>
      <c r="Q161" s="7" t="b">
        <v>0</v>
      </c>
      <c r="R161" s="7" t="b">
        <v>0</v>
      </c>
      <c r="S161" s="7" t="b">
        <v>0</v>
      </c>
      <c r="T161" s="7" t="b">
        <v>0</v>
      </c>
      <c r="U161" s="7" t="b">
        <v>0</v>
      </c>
      <c r="V161" s="6" t="n">
        <v>0</v>
      </c>
      <c r="W161" s="17" t="n">
        <v>6</v>
      </c>
      <c r="X161" s="6" t="n">
        <v>0.45</v>
      </c>
      <c r="Y161" s="6" t="n">
        <v>8.17</v>
      </c>
      <c r="Z161" s="6" t="n">
        <f aca="false">(Y161*7.5006157584566)/X161</f>
        <v>136.177846103534</v>
      </c>
      <c r="AA161" s="6" t="n">
        <v>420</v>
      </c>
      <c r="AB161" s="6" t="n">
        <v>1285</v>
      </c>
      <c r="AC161" s="6" t="n">
        <v>80</v>
      </c>
      <c r="AD161" s="6" t="n">
        <v>38.2</v>
      </c>
      <c r="AE161" s="7" t="b">
        <v>0</v>
      </c>
      <c r="AF161" s="7" t="b">
        <v>1</v>
      </c>
      <c r="AG161" s="7" t="b">
        <v>0</v>
      </c>
      <c r="AH161" s="7" t="b">
        <v>0</v>
      </c>
      <c r="AI161" s="7" t="b">
        <v>1</v>
      </c>
      <c r="AJ161" s="7" t="b">
        <v>0</v>
      </c>
      <c r="AKX161" s="0"/>
      <c r="AKY161" s="0"/>
      <c r="AKZ161" s="0"/>
      <c r="ALA161" s="0"/>
      <c r="ALB161" s="0"/>
      <c r="ALC161" s="0"/>
      <c r="ALD161" s="0"/>
      <c r="ALE161" s="0"/>
      <c r="ALF161" s="0"/>
      <c r="ALG161" s="0"/>
      <c r="ALH161" s="0"/>
      <c r="ALI161" s="0"/>
      <c r="ALJ161" s="0"/>
      <c r="ALK161" s="0"/>
      <c r="ALL161" s="0"/>
      <c r="ALM161" s="0"/>
      <c r="ALN161" s="0"/>
      <c r="ALO161" s="0"/>
      <c r="ALP161" s="0"/>
      <c r="ALQ161" s="0"/>
      <c r="ALR161" s="0"/>
      <c r="ALS161" s="0"/>
      <c r="ALT161" s="0"/>
      <c r="ALU161" s="0"/>
      <c r="ALV161" s="0"/>
      <c r="ALW161" s="0"/>
      <c r="ALX161" s="0"/>
      <c r="ALY161" s="0"/>
      <c r="ALZ161" s="0"/>
      <c r="AMA161" s="0"/>
      <c r="AMB161" s="0"/>
      <c r="AMC161" s="0"/>
      <c r="AMD161" s="0"/>
      <c r="AME161" s="0"/>
      <c r="AMF161" s="0"/>
      <c r="AMG161" s="0"/>
      <c r="AMH161" s="0"/>
      <c r="AMI161" s="0"/>
      <c r="AMJ161" s="0"/>
    </row>
    <row r="162" s="14" customFormat="true" ht="12.8" hidden="false" customHeight="false" outlineLevel="0" collapsed="false">
      <c r="A162" s="20" t="n">
        <v>46</v>
      </c>
      <c r="B162" s="6" t="n">
        <v>3</v>
      </c>
      <c r="C162" s="7" t="b">
        <v>0</v>
      </c>
      <c r="D162" s="7" t="b">
        <v>1</v>
      </c>
      <c r="E162" s="7" t="b">
        <v>1</v>
      </c>
      <c r="F162" s="6" t="n">
        <v>6</v>
      </c>
      <c r="G162" s="6"/>
      <c r="H162" s="16" t="b">
        <v>0</v>
      </c>
      <c r="I162" s="7" t="b">
        <v>0</v>
      </c>
      <c r="J162" s="7" t="b">
        <v>0</v>
      </c>
      <c r="K162" s="7" t="b">
        <v>0</v>
      </c>
      <c r="L162" s="6" t="n">
        <v>37</v>
      </c>
      <c r="M162" s="6" t="n">
        <v>31.1</v>
      </c>
      <c r="N162" s="6" t="n">
        <v>3</v>
      </c>
      <c r="O162" s="7" t="b">
        <v>0</v>
      </c>
      <c r="P162" s="7" t="b">
        <v>0</v>
      </c>
      <c r="Q162" s="7" t="b">
        <v>1</v>
      </c>
      <c r="R162" s="7" t="b">
        <v>0</v>
      </c>
      <c r="S162" s="7" t="b">
        <v>0</v>
      </c>
      <c r="T162" s="7" t="b">
        <v>0</v>
      </c>
      <c r="U162" s="7" t="b">
        <v>0</v>
      </c>
      <c r="V162" s="6" t="n">
        <v>0</v>
      </c>
      <c r="W162" s="17" t="n">
        <v>10</v>
      </c>
      <c r="X162" s="6" t="n">
        <v>0.6</v>
      </c>
      <c r="Y162" s="6" t="n">
        <v>7.92</v>
      </c>
      <c r="Z162" s="6" t="n">
        <f aca="false">(Y162*7.5006157584566)/X162</f>
        <v>99.0081280116271</v>
      </c>
      <c r="AA162" s="6" t="n">
        <v>131</v>
      </c>
      <c r="AB162" s="6" t="n">
        <v>2819</v>
      </c>
      <c r="AC162" s="6" t="n">
        <v>4.86</v>
      </c>
      <c r="AD162" s="6" t="n">
        <v>38</v>
      </c>
      <c r="AE162" s="7" t="b">
        <v>1</v>
      </c>
      <c r="AF162" s="7" t="b">
        <v>0</v>
      </c>
      <c r="AG162" s="7" t="b">
        <v>0</v>
      </c>
      <c r="AH162" s="7" t="b">
        <v>0</v>
      </c>
      <c r="AI162" s="7" t="b">
        <v>0</v>
      </c>
      <c r="AJ162" s="7" t="b">
        <v>0</v>
      </c>
      <c r="AKX162" s="0"/>
      <c r="AKY162" s="0"/>
      <c r="AKZ162" s="0"/>
      <c r="ALA162" s="0"/>
      <c r="ALB162" s="0"/>
      <c r="ALC162" s="0"/>
      <c r="ALD162" s="0"/>
      <c r="ALE162" s="0"/>
      <c r="ALF162" s="0"/>
      <c r="ALG162" s="0"/>
      <c r="ALH162" s="0"/>
      <c r="ALI162" s="0"/>
      <c r="ALJ162" s="0"/>
      <c r="ALK162" s="0"/>
      <c r="ALL162" s="0"/>
      <c r="ALM162" s="0"/>
      <c r="ALN162" s="0"/>
      <c r="ALO162" s="0"/>
      <c r="ALP162" s="0"/>
      <c r="ALQ162" s="0"/>
      <c r="ALR162" s="0"/>
      <c r="ALS162" s="0"/>
      <c r="ALT162" s="0"/>
      <c r="ALU162" s="0"/>
      <c r="ALV162" s="0"/>
      <c r="ALW162" s="0"/>
      <c r="ALX162" s="0"/>
      <c r="ALY162" s="0"/>
      <c r="ALZ162" s="0"/>
      <c r="AMA162" s="0"/>
      <c r="AMB162" s="0"/>
      <c r="AMC162" s="0"/>
      <c r="AMD162" s="0"/>
      <c r="AME162" s="0"/>
      <c r="AMF162" s="0"/>
      <c r="AMG162" s="0"/>
      <c r="AMH162" s="0"/>
      <c r="AMI162" s="0"/>
      <c r="AMJ162" s="0"/>
    </row>
    <row r="163" s="14" customFormat="true" ht="12.8" hidden="false" customHeight="false" outlineLevel="0" collapsed="false">
      <c r="A163" s="20" t="n">
        <v>49</v>
      </c>
      <c r="B163" s="6" t="n">
        <v>3</v>
      </c>
      <c r="C163" s="7" t="b">
        <v>0</v>
      </c>
      <c r="D163" s="7" t="b">
        <v>1</v>
      </c>
      <c r="E163" s="7" t="b">
        <v>1</v>
      </c>
      <c r="F163" s="6" t="n">
        <v>9</v>
      </c>
      <c r="G163" s="6"/>
      <c r="H163" s="16" t="b">
        <v>0</v>
      </c>
      <c r="I163" s="7" t="b">
        <v>0</v>
      </c>
      <c r="J163" s="7" t="b">
        <v>1</v>
      </c>
      <c r="K163" s="7" t="b">
        <v>1</v>
      </c>
      <c r="L163" s="6" t="n">
        <v>46</v>
      </c>
      <c r="M163" s="6" t="n">
        <v>52.9</v>
      </c>
      <c r="N163" s="6" t="n">
        <v>1</v>
      </c>
      <c r="O163" s="7" t="b">
        <v>1</v>
      </c>
      <c r="P163" s="7" t="b">
        <v>1</v>
      </c>
      <c r="Q163" s="7" t="b">
        <v>0</v>
      </c>
      <c r="R163" s="7" t="b">
        <v>0</v>
      </c>
      <c r="S163" s="7" t="b">
        <v>1</v>
      </c>
      <c r="T163" s="7" t="b">
        <v>0</v>
      </c>
      <c r="U163" s="7" t="b">
        <v>0</v>
      </c>
      <c r="V163" s="6" t="n">
        <v>0</v>
      </c>
      <c r="W163" s="17"/>
      <c r="X163" s="6" t="n">
        <v>0.9</v>
      </c>
      <c r="Y163" s="6" t="n">
        <v>8.09</v>
      </c>
      <c r="Z163" s="6" t="n">
        <f aca="false">(Y163*7.5006157584566)/X163</f>
        <v>67.4222016510154</v>
      </c>
      <c r="AA163" s="6" t="n">
        <v>389</v>
      </c>
      <c r="AB163" s="6" t="n">
        <v>274</v>
      </c>
      <c r="AC163" s="6" t="n">
        <v>1.99</v>
      </c>
      <c r="AD163" s="6" t="n">
        <v>39</v>
      </c>
      <c r="AE163" s="7" t="b">
        <v>1</v>
      </c>
      <c r="AF163" s="7" t="b">
        <v>0</v>
      </c>
      <c r="AG163" s="7" t="b">
        <v>0</v>
      </c>
      <c r="AH163" s="7" t="b">
        <v>1</v>
      </c>
      <c r="AI163" s="7" t="b">
        <v>1</v>
      </c>
      <c r="AJ163" s="7" t="b">
        <v>0</v>
      </c>
      <c r="AKX163" s="0"/>
      <c r="AKY163" s="0"/>
      <c r="AKZ163" s="0"/>
      <c r="ALA163" s="0"/>
      <c r="ALB163" s="0"/>
      <c r="ALC163" s="0"/>
      <c r="ALD163" s="0"/>
      <c r="ALE163" s="0"/>
      <c r="ALF163" s="0"/>
      <c r="ALG163" s="0"/>
      <c r="ALH163" s="0"/>
      <c r="ALI163" s="0"/>
      <c r="ALJ163" s="0"/>
      <c r="ALK163" s="0"/>
      <c r="ALL163" s="0"/>
      <c r="ALM163" s="0"/>
      <c r="ALN163" s="0"/>
      <c r="ALO163" s="0"/>
      <c r="ALP163" s="0"/>
      <c r="ALQ163" s="0"/>
      <c r="ALR163" s="0"/>
      <c r="ALS163" s="0"/>
      <c r="ALT163" s="0"/>
      <c r="ALU163" s="0"/>
      <c r="ALV163" s="0"/>
      <c r="ALW163" s="0"/>
      <c r="ALX163" s="0"/>
      <c r="ALY163" s="0"/>
      <c r="ALZ163" s="0"/>
      <c r="AMA163" s="0"/>
      <c r="AMB163" s="0"/>
      <c r="AMC163" s="0"/>
      <c r="AMD163" s="0"/>
      <c r="AME163" s="0"/>
      <c r="AMF163" s="0"/>
      <c r="AMG163" s="0"/>
      <c r="AMH163" s="0"/>
      <c r="AMI163" s="0"/>
      <c r="AMJ163" s="0"/>
    </row>
    <row r="164" s="14" customFormat="true" ht="12.8" hidden="false" customHeight="false" outlineLevel="0" collapsed="false">
      <c r="A164" s="20" t="n">
        <v>50</v>
      </c>
      <c r="B164" s="6" t="n">
        <v>3</v>
      </c>
      <c r="C164" s="7" t="b">
        <v>0</v>
      </c>
      <c r="D164" s="7" t="b">
        <v>1</v>
      </c>
      <c r="E164" s="7" t="b">
        <v>1</v>
      </c>
      <c r="F164" s="6" t="n">
        <v>16</v>
      </c>
      <c r="G164" s="6"/>
      <c r="H164" s="16" t="b">
        <v>1</v>
      </c>
      <c r="I164" s="7" t="b">
        <v>1</v>
      </c>
      <c r="J164" s="7" t="b">
        <v>1</v>
      </c>
      <c r="K164" s="7" t="b">
        <v>0</v>
      </c>
      <c r="L164" s="6" t="n">
        <v>52</v>
      </c>
      <c r="M164" s="6" t="n">
        <v>23.5</v>
      </c>
      <c r="N164" s="6" t="n">
        <v>0</v>
      </c>
      <c r="O164" s="7" t="b">
        <v>0</v>
      </c>
      <c r="P164" s="7" t="b">
        <v>0</v>
      </c>
      <c r="Q164" s="7" t="b">
        <v>0</v>
      </c>
      <c r="R164" s="7" t="b">
        <v>0</v>
      </c>
      <c r="S164" s="7" t="b">
        <v>0</v>
      </c>
      <c r="T164" s="7" t="b">
        <v>0</v>
      </c>
      <c r="U164" s="7" t="b">
        <v>0</v>
      </c>
      <c r="V164" s="6" t="n">
        <v>0</v>
      </c>
      <c r="W164" s="17" t="n">
        <v>10</v>
      </c>
      <c r="X164" s="6" t="n">
        <v>0.4</v>
      </c>
      <c r="Y164" s="6" t="n">
        <v>7.69</v>
      </c>
      <c r="Z164" s="6" t="n">
        <f aca="false">(Y164*7.5006157584566)/X164</f>
        <v>144.199337956328</v>
      </c>
      <c r="AA164" s="6" t="n">
        <v>327</v>
      </c>
      <c r="AB164" s="6" t="n">
        <v>2311</v>
      </c>
      <c r="AC164" s="6" t="n">
        <v>80</v>
      </c>
      <c r="AD164" s="6" t="n">
        <v>36.8</v>
      </c>
      <c r="AE164" s="7" t="b">
        <v>1</v>
      </c>
      <c r="AF164" s="7" t="b">
        <v>0</v>
      </c>
      <c r="AG164" s="7" t="b">
        <v>1</v>
      </c>
      <c r="AH164" s="7" t="b">
        <v>0</v>
      </c>
      <c r="AI164" s="7" t="b">
        <v>1</v>
      </c>
      <c r="AJ164" s="7" t="b">
        <v>0</v>
      </c>
      <c r="AKX164" s="0"/>
      <c r="AKY164" s="0"/>
      <c r="AKZ164" s="0"/>
      <c r="ALA164" s="0"/>
      <c r="ALB164" s="0"/>
      <c r="ALC164" s="0"/>
      <c r="ALD164" s="0"/>
      <c r="ALE164" s="0"/>
      <c r="ALF164" s="0"/>
      <c r="ALG164" s="0"/>
      <c r="ALH164" s="0"/>
      <c r="ALI164" s="0"/>
      <c r="ALJ164" s="0"/>
      <c r="ALK164" s="0"/>
      <c r="ALL164" s="0"/>
      <c r="ALM164" s="0"/>
      <c r="ALN164" s="0"/>
      <c r="ALO164" s="0"/>
      <c r="ALP164" s="0"/>
      <c r="ALQ164" s="0"/>
      <c r="ALR164" s="0"/>
      <c r="ALS164" s="0"/>
      <c r="ALT164" s="0"/>
      <c r="ALU164" s="0"/>
      <c r="ALV164" s="0"/>
      <c r="ALW164" s="0"/>
      <c r="ALX164" s="0"/>
      <c r="ALY164" s="0"/>
      <c r="ALZ164" s="0"/>
      <c r="AMA164" s="0"/>
      <c r="AMB164" s="0"/>
      <c r="AMC164" s="0"/>
      <c r="AMD164" s="0"/>
      <c r="AME164" s="0"/>
      <c r="AMF164" s="0"/>
      <c r="AMG164" s="0"/>
      <c r="AMH164" s="0"/>
      <c r="AMI164" s="0"/>
      <c r="AMJ164" s="0"/>
    </row>
    <row r="165" s="14" customFormat="true" ht="12.8" hidden="false" customHeight="false" outlineLevel="0" collapsed="false">
      <c r="A165" s="20" t="n">
        <v>53</v>
      </c>
      <c r="B165" s="6" t="n">
        <v>3</v>
      </c>
      <c r="C165" s="7" t="b">
        <v>0</v>
      </c>
      <c r="D165" s="7" t="b">
        <v>1</v>
      </c>
      <c r="E165" s="7" t="b">
        <v>1</v>
      </c>
      <c r="F165" s="6" t="n">
        <v>8</v>
      </c>
      <c r="G165" s="6"/>
      <c r="H165" s="16" t="b">
        <v>1</v>
      </c>
      <c r="I165" s="7" t="b">
        <v>0</v>
      </c>
      <c r="J165" s="7" t="b">
        <v>0</v>
      </c>
      <c r="K165" s="7" t="b">
        <v>1</v>
      </c>
      <c r="L165" s="6" t="n">
        <v>70</v>
      </c>
      <c r="M165" s="6" t="n">
        <v>30.4</v>
      </c>
      <c r="N165" s="6" t="n">
        <v>0</v>
      </c>
      <c r="O165" s="7" t="b">
        <v>1</v>
      </c>
      <c r="P165" s="7" t="b">
        <v>1</v>
      </c>
      <c r="Q165" s="7" t="b">
        <v>0</v>
      </c>
      <c r="R165" s="7" t="b">
        <v>0</v>
      </c>
      <c r="S165" s="7" t="b">
        <v>0</v>
      </c>
      <c r="T165" s="7" t="b">
        <v>0</v>
      </c>
      <c r="U165" s="7" t="b">
        <v>0</v>
      </c>
      <c r="V165" s="6" t="n">
        <v>0</v>
      </c>
      <c r="W165" s="17"/>
      <c r="X165" s="6" t="n">
        <v>0.65</v>
      </c>
      <c r="Y165" s="6" t="n">
        <v>7.92</v>
      </c>
      <c r="Z165" s="6" t="n">
        <f aca="false">(Y165*7.5006157584566)/X165</f>
        <v>91.3921181645789</v>
      </c>
      <c r="AA165" s="6" t="n">
        <v>102</v>
      </c>
      <c r="AB165" s="6" t="n">
        <v>539</v>
      </c>
      <c r="AC165" s="6" t="n">
        <v>6.75</v>
      </c>
      <c r="AD165" s="6" t="n">
        <v>38</v>
      </c>
      <c r="AE165" s="7" t="b">
        <v>1</v>
      </c>
      <c r="AF165" s="7" t="b">
        <v>1</v>
      </c>
      <c r="AG165" s="7" t="b">
        <v>0</v>
      </c>
      <c r="AH165" s="7" t="b">
        <v>0</v>
      </c>
      <c r="AI165" s="7" t="b">
        <v>1</v>
      </c>
      <c r="AJ165" s="7" t="b">
        <v>0</v>
      </c>
      <c r="AKX165" s="0"/>
      <c r="AKY165" s="0"/>
      <c r="AKZ165" s="0"/>
      <c r="ALA165" s="0"/>
      <c r="ALB165" s="0"/>
      <c r="ALC165" s="0"/>
      <c r="ALD165" s="0"/>
      <c r="ALE165" s="0"/>
      <c r="ALF165" s="0"/>
      <c r="ALG165" s="0"/>
      <c r="ALH165" s="0"/>
      <c r="ALI165" s="0"/>
      <c r="ALJ165" s="0"/>
      <c r="ALK165" s="0"/>
      <c r="ALL165" s="0"/>
      <c r="ALM165" s="0"/>
      <c r="ALN165" s="0"/>
      <c r="ALO165" s="0"/>
      <c r="ALP165" s="0"/>
      <c r="ALQ165" s="0"/>
      <c r="ALR165" s="0"/>
      <c r="ALS165" s="0"/>
      <c r="ALT165" s="0"/>
      <c r="ALU165" s="0"/>
      <c r="ALV165" s="0"/>
      <c r="ALW165" s="0"/>
      <c r="ALX165" s="0"/>
      <c r="ALY165" s="0"/>
      <c r="ALZ165" s="0"/>
      <c r="AMA165" s="0"/>
      <c r="AMB165" s="0"/>
      <c r="AMC165" s="0"/>
      <c r="AMD165" s="0"/>
      <c r="AME165" s="0"/>
      <c r="AMF165" s="0"/>
      <c r="AMG165" s="0"/>
      <c r="AMH165" s="0"/>
      <c r="AMI165" s="0"/>
      <c r="AMJ165" s="0"/>
    </row>
    <row r="166" s="14" customFormat="true" ht="12.8" hidden="false" customHeight="false" outlineLevel="0" collapsed="false">
      <c r="A166" s="20" t="n">
        <v>55</v>
      </c>
      <c r="B166" s="6" t="n">
        <v>3</v>
      </c>
      <c r="C166" s="7" t="b">
        <v>0</v>
      </c>
      <c r="D166" s="7" t="b">
        <v>1</v>
      </c>
      <c r="E166" s="7" t="b">
        <v>1</v>
      </c>
      <c r="F166" s="6" t="n">
        <v>5</v>
      </c>
      <c r="G166" s="6"/>
      <c r="H166" s="16" t="b">
        <v>0</v>
      </c>
      <c r="I166" s="7" t="b">
        <v>0</v>
      </c>
      <c r="J166" s="7" t="b">
        <v>0</v>
      </c>
      <c r="K166" s="7" t="b">
        <v>0</v>
      </c>
      <c r="L166" s="6" t="n">
        <v>44</v>
      </c>
      <c r="M166" s="6" t="n">
        <v>29.3</v>
      </c>
      <c r="N166" s="6" t="n">
        <v>0</v>
      </c>
      <c r="O166" s="7" t="b">
        <v>1</v>
      </c>
      <c r="P166" s="7" t="b">
        <v>0</v>
      </c>
      <c r="Q166" s="7" t="b">
        <v>0</v>
      </c>
      <c r="R166" s="7" t="b">
        <v>0</v>
      </c>
      <c r="S166" s="7" t="b">
        <v>0</v>
      </c>
      <c r="T166" s="7" t="b">
        <v>0</v>
      </c>
      <c r="U166" s="7" t="b">
        <v>0</v>
      </c>
      <c r="V166" s="6" t="n">
        <v>1</v>
      </c>
      <c r="W166" s="17" t="n">
        <v>12</v>
      </c>
      <c r="X166" s="6" t="n">
        <v>1</v>
      </c>
      <c r="Y166" s="6" t="n">
        <v>7.88</v>
      </c>
      <c r="Z166" s="6" t="n">
        <f aca="false">(Y166*7.5006157584566)/X166</f>
        <v>59.104852176638</v>
      </c>
      <c r="AA166" s="6" t="n">
        <v>322</v>
      </c>
      <c r="AB166" s="6" t="n">
        <v>326</v>
      </c>
      <c r="AC166" s="6" t="n">
        <v>11.49</v>
      </c>
      <c r="AD166" s="6" t="n">
        <v>38.4</v>
      </c>
      <c r="AE166" s="7" t="b">
        <v>0</v>
      </c>
      <c r="AF166" s="7" t="b">
        <v>1</v>
      </c>
      <c r="AG166" s="7" t="b">
        <v>0</v>
      </c>
      <c r="AH166" s="7" t="b">
        <v>0</v>
      </c>
      <c r="AI166" s="7" t="b">
        <v>1</v>
      </c>
      <c r="AJ166" s="7" t="b">
        <v>0</v>
      </c>
      <c r="AKX166" s="0"/>
      <c r="AKY166" s="0"/>
      <c r="AKZ166" s="0"/>
      <c r="ALA166" s="0"/>
      <c r="ALB166" s="0"/>
      <c r="ALC166" s="0"/>
      <c r="ALD166" s="0"/>
      <c r="ALE166" s="0"/>
      <c r="ALF166" s="0"/>
      <c r="ALG166" s="0"/>
      <c r="ALH166" s="0"/>
      <c r="ALI166" s="0"/>
      <c r="ALJ166" s="0"/>
      <c r="ALK166" s="0"/>
      <c r="ALL166" s="0"/>
      <c r="ALM166" s="0"/>
      <c r="ALN166" s="0"/>
      <c r="ALO166" s="0"/>
      <c r="ALP166" s="0"/>
      <c r="ALQ166" s="0"/>
      <c r="ALR166" s="0"/>
      <c r="ALS166" s="0"/>
      <c r="ALT166" s="0"/>
      <c r="ALU166" s="0"/>
      <c r="ALV166" s="0"/>
      <c r="ALW166" s="0"/>
      <c r="ALX166" s="0"/>
      <c r="ALY166" s="0"/>
      <c r="ALZ166" s="0"/>
      <c r="AMA166" s="0"/>
      <c r="AMB166" s="0"/>
      <c r="AMC166" s="0"/>
      <c r="AMD166" s="0"/>
      <c r="AME166" s="0"/>
      <c r="AMF166" s="0"/>
      <c r="AMG166" s="0"/>
      <c r="AMH166" s="0"/>
      <c r="AMI166" s="0"/>
      <c r="AMJ166" s="0"/>
    </row>
    <row r="167" s="14" customFormat="true" ht="12.8" hidden="false" customHeight="false" outlineLevel="0" collapsed="false">
      <c r="A167" s="20" t="n">
        <v>56</v>
      </c>
      <c r="B167" s="6" t="n">
        <v>3</v>
      </c>
      <c r="C167" s="7" t="b">
        <v>0</v>
      </c>
      <c r="D167" s="7" t="b">
        <v>1</v>
      </c>
      <c r="E167" s="7" t="b">
        <v>1</v>
      </c>
      <c r="F167" s="6" t="n">
        <v>4</v>
      </c>
      <c r="G167" s="6"/>
      <c r="H167" s="16" t="b">
        <v>1</v>
      </c>
      <c r="I167" s="7" t="b">
        <v>0</v>
      </c>
      <c r="J167" s="7" t="b">
        <v>0</v>
      </c>
      <c r="K167" s="7" t="b">
        <v>0</v>
      </c>
      <c r="L167" s="6" t="n">
        <v>71</v>
      </c>
      <c r="M167" s="6" t="n">
        <v>27.8</v>
      </c>
      <c r="N167" s="6" t="n">
        <v>0</v>
      </c>
      <c r="O167" s="7" t="b">
        <v>0</v>
      </c>
      <c r="P167" s="7" t="b">
        <v>0</v>
      </c>
      <c r="Q167" s="7" t="b">
        <v>1</v>
      </c>
      <c r="R167" s="7" t="b">
        <v>0</v>
      </c>
      <c r="S167" s="7" t="b">
        <v>0</v>
      </c>
      <c r="T167" s="7" t="b">
        <v>0</v>
      </c>
      <c r="U167" s="7" t="b">
        <v>0</v>
      </c>
      <c r="V167" s="6" t="n">
        <v>0</v>
      </c>
      <c r="W167" s="17" t="n">
        <v>10</v>
      </c>
      <c r="X167" s="6" t="n">
        <v>0.65</v>
      </c>
      <c r="Y167" s="6" t="n">
        <v>9.59</v>
      </c>
      <c r="Z167" s="6" t="n">
        <f aca="false">(Y167*7.5006157584566)/X167</f>
        <v>110.662930959383</v>
      </c>
      <c r="AA167" s="6" t="n">
        <v>121</v>
      </c>
      <c r="AB167" s="6" t="n">
        <v>776</v>
      </c>
      <c r="AC167" s="6" t="n">
        <v>14.46</v>
      </c>
      <c r="AD167" s="6" t="n">
        <v>38.1</v>
      </c>
      <c r="AE167" s="7" t="b">
        <v>1</v>
      </c>
      <c r="AF167" s="7" t="b">
        <v>0</v>
      </c>
      <c r="AG167" s="7" t="b">
        <v>0</v>
      </c>
      <c r="AH167" s="7" t="b">
        <v>0</v>
      </c>
      <c r="AI167" s="7" t="b">
        <v>1</v>
      </c>
      <c r="AJ167" s="7" t="b">
        <v>0</v>
      </c>
      <c r="AKX167" s="0"/>
      <c r="AKY167" s="0"/>
      <c r="AKZ167" s="0"/>
      <c r="ALA167" s="0"/>
      <c r="ALB167" s="0"/>
      <c r="ALC167" s="0"/>
      <c r="ALD167" s="0"/>
      <c r="ALE167" s="0"/>
      <c r="ALF167" s="0"/>
      <c r="ALG167" s="0"/>
      <c r="ALH167" s="0"/>
      <c r="ALI167" s="0"/>
      <c r="ALJ167" s="0"/>
      <c r="ALK167" s="0"/>
      <c r="ALL167" s="0"/>
      <c r="ALM167" s="0"/>
      <c r="ALN167" s="0"/>
      <c r="ALO167" s="0"/>
      <c r="ALP167" s="0"/>
      <c r="ALQ167" s="0"/>
      <c r="ALR167" s="0"/>
      <c r="ALS167" s="0"/>
      <c r="ALT167" s="0"/>
      <c r="ALU167" s="0"/>
      <c r="ALV167" s="0"/>
      <c r="ALW167" s="0"/>
      <c r="ALX167" s="0"/>
      <c r="ALY167" s="0"/>
      <c r="ALZ167" s="0"/>
      <c r="AMA167" s="0"/>
      <c r="AMB167" s="0"/>
      <c r="AMC167" s="0"/>
      <c r="AMD167" s="0"/>
      <c r="AME167" s="0"/>
      <c r="AMF167" s="0"/>
      <c r="AMG167" s="0"/>
      <c r="AMH167" s="0"/>
      <c r="AMI167" s="0"/>
      <c r="AMJ167" s="0"/>
    </row>
    <row r="168" s="14" customFormat="true" ht="12.8" hidden="false" customHeight="false" outlineLevel="0" collapsed="false">
      <c r="A168" s="20" t="n">
        <v>58</v>
      </c>
      <c r="B168" s="6" t="n">
        <v>3</v>
      </c>
      <c r="C168" s="7" t="b">
        <v>0</v>
      </c>
      <c r="D168" s="7" t="b">
        <v>1</v>
      </c>
      <c r="E168" s="7" t="b">
        <v>1</v>
      </c>
      <c r="F168" s="6" t="n">
        <v>15</v>
      </c>
      <c r="G168" s="6"/>
      <c r="H168" s="16" t="b">
        <v>1</v>
      </c>
      <c r="I168" s="7" t="b">
        <v>0</v>
      </c>
      <c r="J168" s="7" t="b">
        <v>1</v>
      </c>
      <c r="K168" s="7" t="b">
        <v>0</v>
      </c>
      <c r="L168" s="6" t="n">
        <v>62</v>
      </c>
      <c r="M168" s="6" t="n">
        <v>30.3</v>
      </c>
      <c r="N168" s="6" t="n">
        <v>0</v>
      </c>
      <c r="O168" s="7" t="b">
        <v>1</v>
      </c>
      <c r="P168" s="7" t="b">
        <v>1</v>
      </c>
      <c r="Q168" s="7" t="b">
        <v>0</v>
      </c>
      <c r="R168" s="7" t="b">
        <v>1</v>
      </c>
      <c r="S168" s="7" t="b">
        <v>0</v>
      </c>
      <c r="T168" s="7" t="b">
        <v>0</v>
      </c>
      <c r="U168" s="7" t="b">
        <v>0</v>
      </c>
      <c r="V168" s="6" t="n">
        <v>0</v>
      </c>
      <c r="W168" s="17"/>
      <c r="X168" s="6" t="n">
        <v>0.8</v>
      </c>
      <c r="Y168" s="6" t="n">
        <v>6.43</v>
      </c>
      <c r="Z168" s="6" t="n">
        <f aca="false">(Y168*7.5006157584566)/X168</f>
        <v>60.2861991585949</v>
      </c>
      <c r="AA168" s="6" t="n">
        <v>341</v>
      </c>
      <c r="AB168" s="6" t="n">
        <v>1372</v>
      </c>
      <c r="AC168" s="6" t="n">
        <v>3.68</v>
      </c>
      <c r="AD168" s="6" t="n">
        <v>38.2</v>
      </c>
      <c r="AE168" s="7" t="b">
        <v>0</v>
      </c>
      <c r="AF168" s="7" t="b">
        <v>0</v>
      </c>
      <c r="AG168" s="7" t="b">
        <v>0</v>
      </c>
      <c r="AH168" s="7" t="b">
        <v>0</v>
      </c>
      <c r="AI168" s="7" t="b">
        <v>1</v>
      </c>
      <c r="AJ168" s="7" t="b">
        <v>0</v>
      </c>
      <c r="AKX168" s="0"/>
      <c r="AKY168" s="0"/>
      <c r="AKZ168" s="0"/>
      <c r="ALA168" s="0"/>
      <c r="ALB168" s="0"/>
      <c r="ALC168" s="0"/>
      <c r="ALD168" s="0"/>
      <c r="ALE168" s="0"/>
      <c r="ALF168" s="0"/>
      <c r="ALG168" s="0"/>
      <c r="ALH168" s="0"/>
      <c r="ALI168" s="0"/>
      <c r="ALJ168" s="0"/>
      <c r="ALK168" s="0"/>
      <c r="ALL168" s="0"/>
      <c r="ALM168" s="0"/>
      <c r="ALN168" s="0"/>
      <c r="ALO168" s="0"/>
      <c r="ALP168" s="0"/>
      <c r="ALQ168" s="0"/>
      <c r="ALR168" s="0"/>
      <c r="ALS168" s="0"/>
      <c r="ALT168" s="0"/>
      <c r="ALU168" s="0"/>
      <c r="ALV168" s="0"/>
      <c r="ALW168" s="0"/>
      <c r="ALX168" s="0"/>
      <c r="ALY168" s="0"/>
      <c r="ALZ168" s="0"/>
      <c r="AMA168" s="0"/>
      <c r="AMB168" s="0"/>
      <c r="AMC168" s="0"/>
      <c r="AMD168" s="0"/>
      <c r="AME168" s="0"/>
      <c r="AMF168" s="0"/>
      <c r="AMG168" s="0"/>
      <c r="AMH168" s="0"/>
      <c r="AMI168" s="0"/>
      <c r="AMJ168" s="0"/>
    </row>
    <row r="169" s="14" customFormat="true" ht="12.8" hidden="false" customHeight="false" outlineLevel="0" collapsed="false">
      <c r="A169" s="20" t="n">
        <v>59</v>
      </c>
      <c r="B169" s="6" t="n">
        <v>3</v>
      </c>
      <c r="C169" s="7" t="b">
        <v>0</v>
      </c>
      <c r="D169" s="7" t="b">
        <v>1</v>
      </c>
      <c r="E169" s="7" t="b">
        <v>1</v>
      </c>
      <c r="F169" s="6" t="n">
        <v>8</v>
      </c>
      <c r="G169" s="6"/>
      <c r="H169" s="16" t="b">
        <v>1</v>
      </c>
      <c r="I169" s="7" t="b">
        <v>0</v>
      </c>
      <c r="J169" s="7" t="b">
        <v>0</v>
      </c>
      <c r="K169" s="7" t="b">
        <v>0</v>
      </c>
      <c r="L169" s="6" t="n">
        <v>65</v>
      </c>
      <c r="M169" s="6" t="n">
        <v>28.3</v>
      </c>
      <c r="N169" s="6" t="n">
        <v>1</v>
      </c>
      <c r="O169" s="7" t="b">
        <v>0</v>
      </c>
      <c r="P169" s="7" t="b">
        <v>0</v>
      </c>
      <c r="Q169" s="7" t="b">
        <v>0</v>
      </c>
      <c r="R169" s="7" t="b">
        <v>0</v>
      </c>
      <c r="S169" s="7" t="b">
        <v>0</v>
      </c>
      <c r="T169" s="7" t="b">
        <v>0</v>
      </c>
      <c r="U169" s="7" t="b">
        <v>0</v>
      </c>
      <c r="V169" s="6" t="n">
        <v>0</v>
      </c>
      <c r="W169" s="17"/>
      <c r="X169" s="6" t="n">
        <v>1</v>
      </c>
      <c r="Y169" s="6" t="n">
        <v>7.37</v>
      </c>
      <c r="Z169" s="6" t="n">
        <f aca="false">(Y169*7.5006157584566)/X169</f>
        <v>55.2795381398251</v>
      </c>
      <c r="AA169" s="6" t="n">
        <v>300</v>
      </c>
      <c r="AB169" s="6" t="n">
        <v>1388</v>
      </c>
      <c r="AC169" s="6" t="n">
        <v>15.59</v>
      </c>
      <c r="AD169" s="6" t="n">
        <v>37.8</v>
      </c>
      <c r="AE169" s="7" t="b">
        <v>1</v>
      </c>
      <c r="AF169" s="7" t="b">
        <v>0</v>
      </c>
      <c r="AG169" s="7" t="b">
        <v>0</v>
      </c>
      <c r="AH169" s="7" t="b">
        <v>0</v>
      </c>
      <c r="AI169" s="7" t="b">
        <v>1</v>
      </c>
      <c r="AJ169" s="7" t="b">
        <v>0</v>
      </c>
      <c r="AKX169" s="0"/>
      <c r="AKY169" s="0"/>
      <c r="AKZ169" s="0"/>
      <c r="ALA169" s="0"/>
      <c r="ALB169" s="0"/>
      <c r="ALC169" s="0"/>
      <c r="ALD169" s="0"/>
      <c r="ALE169" s="0"/>
      <c r="ALF169" s="0"/>
      <c r="ALG169" s="0"/>
      <c r="ALH169" s="0"/>
      <c r="ALI169" s="0"/>
      <c r="ALJ169" s="0"/>
      <c r="ALK169" s="0"/>
      <c r="ALL169" s="0"/>
      <c r="ALM169" s="0"/>
      <c r="ALN169" s="0"/>
      <c r="ALO169" s="0"/>
      <c r="ALP169" s="0"/>
      <c r="ALQ169" s="0"/>
      <c r="ALR169" s="0"/>
      <c r="ALS169" s="0"/>
      <c r="ALT169" s="0"/>
      <c r="ALU169" s="0"/>
      <c r="ALV169" s="0"/>
      <c r="ALW169" s="0"/>
      <c r="ALX169" s="0"/>
      <c r="ALY169" s="0"/>
      <c r="ALZ169" s="0"/>
      <c r="AMA169" s="0"/>
      <c r="AMB169" s="0"/>
      <c r="AMC169" s="0"/>
      <c r="AMD169" s="0"/>
      <c r="AME169" s="0"/>
      <c r="AMF169" s="0"/>
      <c r="AMG169" s="0"/>
      <c r="AMH169" s="0"/>
      <c r="AMI169" s="0"/>
      <c r="AMJ169" s="0"/>
    </row>
    <row r="170" s="14" customFormat="true" ht="12.8" hidden="false" customHeight="false" outlineLevel="0" collapsed="false">
      <c r="A170" s="20" t="n">
        <v>65</v>
      </c>
      <c r="B170" s="6" t="n">
        <v>3</v>
      </c>
      <c r="C170" s="7" t="b">
        <v>0</v>
      </c>
      <c r="D170" s="7" t="b">
        <v>1</v>
      </c>
      <c r="E170" s="7" t="b">
        <v>1</v>
      </c>
      <c r="F170" s="6" t="n">
        <v>8</v>
      </c>
      <c r="G170" s="6"/>
      <c r="H170" s="16"/>
      <c r="I170" s="7"/>
      <c r="J170" s="7"/>
      <c r="K170" s="7" t="b">
        <v>0</v>
      </c>
      <c r="L170" s="6" t="n">
        <v>62</v>
      </c>
      <c r="M170" s="6" t="n">
        <v>23.6</v>
      </c>
      <c r="N170" s="6" t="n">
        <v>0</v>
      </c>
      <c r="O170" s="7" t="b">
        <v>0</v>
      </c>
      <c r="P170" s="7" t="b">
        <v>1</v>
      </c>
      <c r="Q170" s="7" t="b">
        <v>1</v>
      </c>
      <c r="R170" s="7" t="b">
        <v>1</v>
      </c>
      <c r="S170" s="7" t="b">
        <v>0</v>
      </c>
      <c r="T170" s="7" t="b">
        <v>0</v>
      </c>
      <c r="U170" s="7"/>
      <c r="V170" s="6" t="n">
        <v>0</v>
      </c>
      <c r="W170" s="17"/>
      <c r="X170" s="6"/>
      <c r="Y170" s="6"/>
      <c r="Z170" s="6"/>
      <c r="AA170" s="6"/>
      <c r="AB170" s="6"/>
      <c r="AC170" s="6"/>
      <c r="AD170" s="6"/>
      <c r="AE170" s="7"/>
      <c r="AF170" s="7"/>
      <c r="AG170" s="7"/>
      <c r="AH170" s="7"/>
      <c r="AI170" s="7"/>
      <c r="AJ170" s="7" t="b">
        <v>0</v>
      </c>
      <c r="AKX170" s="0"/>
      <c r="AKY170" s="0"/>
      <c r="AKZ170" s="0"/>
      <c r="ALA170" s="0"/>
      <c r="ALB170" s="0"/>
      <c r="ALC170" s="0"/>
      <c r="ALD170" s="0"/>
      <c r="ALE170" s="0"/>
      <c r="ALF170" s="0"/>
      <c r="ALG170" s="0"/>
      <c r="ALH170" s="0"/>
      <c r="ALI170" s="0"/>
      <c r="ALJ170" s="0"/>
      <c r="ALK170" s="0"/>
      <c r="ALL170" s="0"/>
      <c r="ALM170" s="0"/>
      <c r="ALN170" s="0"/>
      <c r="ALO170" s="0"/>
      <c r="ALP170" s="0"/>
      <c r="ALQ170" s="0"/>
      <c r="ALR170" s="0"/>
      <c r="ALS170" s="0"/>
      <c r="ALT170" s="0"/>
      <c r="ALU170" s="0"/>
      <c r="ALV170" s="0"/>
      <c r="ALW170" s="0"/>
      <c r="ALX170" s="0"/>
      <c r="ALY170" s="0"/>
      <c r="ALZ170" s="0"/>
      <c r="AMA170" s="0"/>
      <c r="AMB170" s="0"/>
      <c r="AMC170" s="0"/>
      <c r="AMD170" s="0"/>
      <c r="AME170" s="0"/>
      <c r="AMF170" s="0"/>
      <c r="AMG170" s="0"/>
      <c r="AMH170" s="0"/>
      <c r="AMI170" s="0"/>
      <c r="AMJ170" s="0"/>
    </row>
    <row r="171" s="14" customFormat="true" ht="12.8" hidden="false" customHeight="false" outlineLevel="0" collapsed="false">
      <c r="A171" s="20" t="n">
        <v>67</v>
      </c>
      <c r="B171" s="6" t="n">
        <v>3</v>
      </c>
      <c r="C171" s="7" t="b">
        <v>0</v>
      </c>
      <c r="D171" s="7" t="b">
        <v>1</v>
      </c>
      <c r="E171" s="7" t="b">
        <v>1</v>
      </c>
      <c r="F171" s="6" t="n">
        <v>18</v>
      </c>
      <c r="G171" s="6"/>
      <c r="H171" s="16" t="b">
        <v>1</v>
      </c>
      <c r="I171" s="7" t="b">
        <v>1</v>
      </c>
      <c r="J171" s="7" t="b">
        <v>1</v>
      </c>
      <c r="K171" s="7" t="b">
        <v>0</v>
      </c>
      <c r="L171" s="6" t="n">
        <v>79</v>
      </c>
      <c r="M171" s="6" t="n">
        <v>25.6</v>
      </c>
      <c r="N171" s="6" t="n">
        <v>1</v>
      </c>
      <c r="O171" s="7" t="b">
        <v>0</v>
      </c>
      <c r="P171" s="7" t="b">
        <v>1</v>
      </c>
      <c r="Q171" s="7" t="b">
        <v>0</v>
      </c>
      <c r="R171" s="7" t="b">
        <v>0</v>
      </c>
      <c r="S171" s="7" t="b">
        <v>0</v>
      </c>
      <c r="T171" s="7" t="b">
        <v>0</v>
      </c>
      <c r="U171" s="7" t="b">
        <v>0</v>
      </c>
      <c r="V171" s="6" t="n">
        <v>0</v>
      </c>
      <c r="W171" s="17" t="n">
        <v>8</v>
      </c>
      <c r="X171" s="6" t="n">
        <v>0.55</v>
      </c>
      <c r="Y171" s="6" t="n">
        <v>8.96</v>
      </c>
      <c r="Z171" s="6" t="n">
        <f aca="false">(Y171*7.5006157584566)/X171</f>
        <v>122.191849446857</v>
      </c>
      <c r="AA171" s="6" t="n">
        <v>348</v>
      </c>
      <c r="AB171" s="6" t="n">
        <v>1060</v>
      </c>
      <c r="AC171" s="6" t="n">
        <v>52.56</v>
      </c>
      <c r="AD171" s="6" t="n">
        <v>36.5</v>
      </c>
      <c r="AE171" s="7" t="b">
        <v>0</v>
      </c>
      <c r="AF171" s="7" t="b">
        <v>0</v>
      </c>
      <c r="AG171" s="7" t="b">
        <v>0</v>
      </c>
      <c r="AH171" s="7" t="b">
        <v>1</v>
      </c>
      <c r="AI171" s="7" t="b">
        <v>1</v>
      </c>
      <c r="AJ171" s="7" t="b">
        <v>0</v>
      </c>
      <c r="AKX171" s="0"/>
      <c r="AKY171" s="0"/>
      <c r="AKZ171" s="0"/>
      <c r="ALA171" s="0"/>
      <c r="ALB171" s="0"/>
      <c r="ALC171" s="0"/>
      <c r="ALD171" s="0"/>
      <c r="ALE171" s="0"/>
      <c r="ALF171" s="0"/>
      <c r="ALG171" s="0"/>
      <c r="ALH171" s="0"/>
      <c r="ALI171" s="0"/>
      <c r="ALJ171" s="0"/>
      <c r="ALK171" s="0"/>
      <c r="ALL171" s="0"/>
      <c r="ALM171" s="0"/>
      <c r="ALN171" s="0"/>
      <c r="ALO171" s="0"/>
      <c r="ALP171" s="0"/>
      <c r="ALQ171" s="0"/>
      <c r="ALR171" s="0"/>
      <c r="ALS171" s="0"/>
      <c r="ALT171" s="0"/>
      <c r="ALU171" s="0"/>
      <c r="ALV171" s="0"/>
      <c r="ALW171" s="0"/>
      <c r="ALX171" s="0"/>
      <c r="ALY171" s="0"/>
      <c r="ALZ171" s="0"/>
      <c r="AMA171" s="0"/>
      <c r="AMB171" s="0"/>
      <c r="AMC171" s="0"/>
      <c r="AMD171" s="0"/>
      <c r="AME171" s="0"/>
      <c r="AMF171" s="0"/>
      <c r="AMG171" s="0"/>
      <c r="AMH171" s="0"/>
      <c r="AMI171" s="0"/>
      <c r="AMJ171" s="0"/>
    </row>
    <row r="172" s="14" customFormat="true" ht="12.8" hidden="false" customHeight="false" outlineLevel="0" collapsed="false">
      <c r="A172" s="20" t="n">
        <v>71</v>
      </c>
      <c r="B172" s="6" t="n">
        <v>3</v>
      </c>
      <c r="C172" s="7" t="b">
        <v>0</v>
      </c>
      <c r="D172" s="7" t="b">
        <v>1</v>
      </c>
      <c r="E172" s="7" t="b">
        <v>1</v>
      </c>
      <c r="F172" s="6" t="n">
        <v>19</v>
      </c>
      <c r="G172" s="6"/>
      <c r="H172" s="16" t="b">
        <v>1</v>
      </c>
      <c r="I172" s="7" t="b">
        <v>1</v>
      </c>
      <c r="J172" s="7" t="b">
        <v>0</v>
      </c>
      <c r="K172" s="7" t="b">
        <v>0</v>
      </c>
      <c r="L172" s="6" t="n">
        <v>59</v>
      </c>
      <c r="M172" s="6" t="n">
        <v>26.2</v>
      </c>
      <c r="N172" s="6" t="n">
        <v>0</v>
      </c>
      <c r="O172" s="7" t="b">
        <v>0</v>
      </c>
      <c r="P172" s="7" t="b">
        <v>1</v>
      </c>
      <c r="Q172" s="7" t="b">
        <v>0</v>
      </c>
      <c r="R172" s="7" t="b">
        <v>0</v>
      </c>
      <c r="S172" s="7" t="b">
        <v>0</v>
      </c>
      <c r="T172" s="7" t="b">
        <v>0</v>
      </c>
      <c r="U172" s="7" t="b">
        <v>0</v>
      </c>
      <c r="V172" s="6" t="n">
        <v>0</v>
      </c>
      <c r="W172" s="17"/>
      <c r="X172" s="6" t="n">
        <v>0.5</v>
      </c>
      <c r="Y172" s="6" t="n">
        <v>7.65</v>
      </c>
      <c r="Z172" s="6" t="n">
        <f aca="false">(Y172*7.5006157584566)/X172</f>
        <v>114.759421104386</v>
      </c>
      <c r="AA172" s="6" t="n">
        <v>190</v>
      </c>
      <c r="AB172" s="6" t="n">
        <v>1486</v>
      </c>
      <c r="AC172" s="6" t="n">
        <v>67.07</v>
      </c>
      <c r="AD172" s="6" t="n">
        <v>39.1</v>
      </c>
      <c r="AE172" s="7" t="b">
        <v>1</v>
      </c>
      <c r="AF172" s="7" t="b">
        <v>0</v>
      </c>
      <c r="AG172" s="7" t="b">
        <v>0</v>
      </c>
      <c r="AH172" s="7" t="b">
        <v>0</v>
      </c>
      <c r="AI172" s="7" t="b">
        <v>1</v>
      </c>
      <c r="AJ172" s="7" t="b">
        <v>0</v>
      </c>
      <c r="AKX172" s="0"/>
      <c r="AKY172" s="0"/>
      <c r="AKZ172" s="0"/>
      <c r="ALA172" s="0"/>
      <c r="ALB172" s="0"/>
      <c r="ALC172" s="0"/>
      <c r="ALD172" s="0"/>
      <c r="ALE172" s="0"/>
      <c r="ALF172" s="0"/>
      <c r="ALG172" s="0"/>
      <c r="ALH172" s="0"/>
      <c r="ALI172" s="0"/>
      <c r="ALJ172" s="0"/>
      <c r="ALK172" s="0"/>
      <c r="ALL172" s="0"/>
      <c r="ALM172" s="0"/>
      <c r="ALN172" s="0"/>
      <c r="ALO172" s="0"/>
      <c r="ALP172" s="0"/>
      <c r="ALQ172" s="0"/>
      <c r="ALR172" s="0"/>
      <c r="ALS172" s="0"/>
      <c r="ALT172" s="0"/>
      <c r="ALU172" s="0"/>
      <c r="ALV172" s="0"/>
      <c r="ALW172" s="0"/>
      <c r="ALX172" s="0"/>
      <c r="ALY172" s="0"/>
      <c r="ALZ172" s="0"/>
      <c r="AMA172" s="0"/>
      <c r="AMB172" s="0"/>
      <c r="AMC172" s="0"/>
      <c r="AMD172" s="0"/>
      <c r="AME172" s="0"/>
      <c r="AMF172" s="0"/>
      <c r="AMG172" s="0"/>
      <c r="AMH172" s="0"/>
      <c r="AMI172" s="0"/>
      <c r="AMJ172" s="0"/>
    </row>
    <row r="173" s="14" customFormat="true" ht="12.8" hidden="false" customHeight="false" outlineLevel="0" collapsed="false">
      <c r="A173" s="20" t="n">
        <v>72</v>
      </c>
      <c r="B173" s="6" t="n">
        <v>3</v>
      </c>
      <c r="C173" s="7" t="b">
        <v>0</v>
      </c>
      <c r="D173" s="7" t="b">
        <v>1</v>
      </c>
      <c r="E173" s="7" t="b">
        <v>1</v>
      </c>
      <c r="F173" s="6" t="n">
        <v>17</v>
      </c>
      <c r="G173" s="6"/>
      <c r="H173" s="16" t="b">
        <v>0</v>
      </c>
      <c r="I173" s="7" t="b">
        <v>0</v>
      </c>
      <c r="J173" s="7" t="b">
        <v>0</v>
      </c>
      <c r="K173" s="7" t="b">
        <v>0</v>
      </c>
      <c r="L173" s="6" t="n">
        <v>63</v>
      </c>
      <c r="M173" s="6" t="n">
        <v>27.2</v>
      </c>
      <c r="N173" s="6" t="n">
        <v>0</v>
      </c>
      <c r="O173" s="7" t="b">
        <v>0</v>
      </c>
      <c r="P173" s="7" t="b">
        <v>1</v>
      </c>
      <c r="Q173" s="7" t="b">
        <v>0</v>
      </c>
      <c r="R173" s="7" t="b">
        <v>0</v>
      </c>
      <c r="S173" s="7" t="b">
        <v>0</v>
      </c>
      <c r="T173" s="7" t="b">
        <v>0</v>
      </c>
      <c r="U173" s="7" t="b">
        <v>0</v>
      </c>
      <c r="V173" s="6" t="n">
        <v>0</v>
      </c>
      <c r="W173" s="17" t="n">
        <v>8</v>
      </c>
      <c r="X173" s="6" t="n">
        <v>0.24</v>
      </c>
      <c r="Y173" s="6" t="n">
        <v>8.46</v>
      </c>
      <c r="Z173" s="6" t="n">
        <f aca="false">(Y173*7.5006157584566)/X173</f>
        <v>264.396705485595</v>
      </c>
      <c r="AA173" s="6" t="n">
        <v>168</v>
      </c>
      <c r="AB173" s="6" t="n">
        <v>1839</v>
      </c>
      <c r="AC173" s="6" t="n">
        <v>1.71</v>
      </c>
      <c r="AD173" s="6" t="n">
        <v>38.2</v>
      </c>
      <c r="AE173" s="7" t="b">
        <v>0</v>
      </c>
      <c r="AF173" s="7" t="b">
        <v>1</v>
      </c>
      <c r="AG173" s="7" t="b">
        <v>0</v>
      </c>
      <c r="AH173" s="7" t="b">
        <v>0</v>
      </c>
      <c r="AI173" s="7" t="b">
        <v>1</v>
      </c>
      <c r="AJ173" s="7" t="b">
        <v>0</v>
      </c>
      <c r="AKX173" s="0"/>
      <c r="AKY173" s="0"/>
      <c r="AKZ173" s="0"/>
      <c r="ALA173" s="0"/>
      <c r="ALB173" s="0"/>
      <c r="ALC173" s="0"/>
      <c r="ALD173" s="0"/>
      <c r="ALE173" s="0"/>
      <c r="ALF173" s="0"/>
      <c r="ALG173" s="0"/>
      <c r="ALH173" s="0"/>
      <c r="ALI173" s="0"/>
      <c r="ALJ173" s="0"/>
      <c r="ALK173" s="0"/>
      <c r="ALL173" s="0"/>
      <c r="ALM173" s="0"/>
      <c r="ALN173" s="0"/>
      <c r="ALO173" s="0"/>
      <c r="ALP173" s="0"/>
      <c r="ALQ173" s="0"/>
      <c r="ALR173" s="0"/>
      <c r="ALS173" s="0"/>
      <c r="ALT173" s="0"/>
      <c r="ALU173" s="0"/>
      <c r="ALV173" s="0"/>
      <c r="ALW173" s="0"/>
      <c r="ALX173" s="0"/>
      <c r="ALY173" s="0"/>
      <c r="ALZ173" s="0"/>
      <c r="AMA173" s="0"/>
      <c r="AMB173" s="0"/>
      <c r="AMC173" s="0"/>
      <c r="AMD173" s="0"/>
      <c r="AME173" s="0"/>
      <c r="AMF173" s="0"/>
      <c r="AMG173" s="0"/>
      <c r="AMH173" s="0"/>
      <c r="AMI173" s="0"/>
      <c r="AMJ173" s="0"/>
    </row>
    <row r="174" s="14" customFormat="true" ht="12.8" hidden="false" customHeight="false" outlineLevel="0" collapsed="false">
      <c r="A174" s="20" t="n">
        <v>84</v>
      </c>
      <c r="B174" s="6" t="n">
        <v>3</v>
      </c>
      <c r="C174" s="7" t="b">
        <v>0</v>
      </c>
      <c r="D174" s="7" t="b">
        <v>1</v>
      </c>
      <c r="E174" s="7" t="b">
        <v>1</v>
      </c>
      <c r="F174" s="6" t="n">
        <v>3</v>
      </c>
      <c r="G174" s="6"/>
      <c r="H174" s="16" t="b">
        <v>0</v>
      </c>
      <c r="I174" s="7" t="b">
        <v>0</v>
      </c>
      <c r="J174" s="7" t="b">
        <v>0</v>
      </c>
      <c r="K174" s="7" t="b">
        <v>0</v>
      </c>
      <c r="L174" s="6" t="n">
        <v>70</v>
      </c>
      <c r="M174" s="6" t="n">
        <v>38.1</v>
      </c>
      <c r="N174" s="6" t="n">
        <v>0</v>
      </c>
      <c r="O174" s="7" t="b">
        <v>1</v>
      </c>
      <c r="P174" s="7" t="b">
        <v>1</v>
      </c>
      <c r="Q174" s="7" t="b">
        <v>0</v>
      </c>
      <c r="R174" s="7" t="b">
        <v>1</v>
      </c>
      <c r="S174" s="7" t="b">
        <v>0</v>
      </c>
      <c r="T174" s="7" t="b">
        <v>0</v>
      </c>
      <c r="U174" s="7" t="b">
        <v>0</v>
      </c>
      <c r="V174" s="6" t="n">
        <v>0</v>
      </c>
      <c r="W174" s="17"/>
      <c r="X174" s="6" t="n">
        <v>0.6</v>
      </c>
      <c r="Y174" s="6" t="n">
        <v>7.1</v>
      </c>
      <c r="Z174" s="6" t="n">
        <f aca="false">(Y174*7.5006157584566)/X174</f>
        <v>88.7572864750698</v>
      </c>
      <c r="AA174" s="6" t="n">
        <v>335</v>
      </c>
      <c r="AB174" s="6" t="n">
        <v>789</v>
      </c>
      <c r="AC174" s="6" t="n">
        <v>6.13</v>
      </c>
      <c r="AD174" s="6" t="n">
        <v>36.7</v>
      </c>
      <c r="AE174" s="7" t="b">
        <v>1</v>
      </c>
      <c r="AF174" s="7" t="b">
        <v>0</v>
      </c>
      <c r="AG174" s="7" t="b">
        <v>0</v>
      </c>
      <c r="AH174" s="7" t="b">
        <v>0</v>
      </c>
      <c r="AI174" s="7" t="b">
        <v>0</v>
      </c>
      <c r="AJ174" s="7" t="b">
        <v>0</v>
      </c>
      <c r="AKX174" s="0"/>
      <c r="AKY174" s="0"/>
      <c r="AKZ174" s="0"/>
      <c r="ALA174" s="0"/>
      <c r="ALB174" s="0"/>
      <c r="ALC174" s="0"/>
      <c r="ALD174" s="0"/>
      <c r="ALE174" s="0"/>
      <c r="ALF174" s="0"/>
      <c r="ALG174" s="0"/>
      <c r="ALH174" s="0"/>
      <c r="ALI174" s="0"/>
      <c r="ALJ174" s="0"/>
      <c r="ALK174" s="0"/>
      <c r="ALL174" s="0"/>
      <c r="ALM174" s="0"/>
      <c r="ALN174" s="0"/>
      <c r="ALO174" s="0"/>
      <c r="ALP174" s="0"/>
      <c r="ALQ174" s="0"/>
      <c r="ALR174" s="0"/>
      <c r="ALS174" s="0"/>
      <c r="ALT174" s="0"/>
      <c r="ALU174" s="0"/>
      <c r="ALV174" s="0"/>
      <c r="ALW174" s="0"/>
      <c r="ALX174" s="0"/>
      <c r="ALY174" s="0"/>
      <c r="ALZ174" s="0"/>
      <c r="AMA174" s="0"/>
      <c r="AMB174" s="0"/>
      <c r="AMC174" s="0"/>
      <c r="AMD174" s="0"/>
      <c r="AME174" s="0"/>
      <c r="AMF174" s="0"/>
      <c r="AMG174" s="0"/>
      <c r="AMH174" s="0"/>
      <c r="AMI174" s="0"/>
      <c r="AMJ174" s="0"/>
    </row>
    <row r="175" s="14" customFormat="true" ht="12.8" hidden="false" customHeight="false" outlineLevel="0" collapsed="false">
      <c r="A175" s="20" t="n">
        <v>85</v>
      </c>
      <c r="B175" s="6" t="n">
        <v>3</v>
      </c>
      <c r="C175" s="7" t="b">
        <v>0</v>
      </c>
      <c r="D175" s="7" t="b">
        <v>1</v>
      </c>
      <c r="E175" s="7" t="b">
        <v>1</v>
      </c>
      <c r="F175" s="6" t="n">
        <v>11</v>
      </c>
      <c r="G175" s="6"/>
      <c r="H175" s="16" t="b">
        <v>0</v>
      </c>
      <c r="I175" s="7" t="b">
        <v>0</v>
      </c>
      <c r="J175" s="7" t="b">
        <v>0</v>
      </c>
      <c r="K175" s="7" t="b">
        <v>0</v>
      </c>
      <c r="L175" s="6" t="n">
        <v>58</v>
      </c>
      <c r="M175" s="6" t="n">
        <v>48.4</v>
      </c>
      <c r="N175" s="6" t="n">
        <v>0</v>
      </c>
      <c r="O175" s="7" t="b">
        <v>0</v>
      </c>
      <c r="P175" s="7" t="b">
        <v>0</v>
      </c>
      <c r="Q175" s="7" t="b">
        <v>0</v>
      </c>
      <c r="R175" s="7" t="b">
        <v>0</v>
      </c>
      <c r="S175" s="7" t="b">
        <v>0</v>
      </c>
      <c r="T175" s="7" t="b">
        <v>0</v>
      </c>
      <c r="U175" s="7" t="b">
        <v>0</v>
      </c>
      <c r="V175" s="6" t="n">
        <v>0</v>
      </c>
      <c r="W175" s="17"/>
      <c r="X175" s="6"/>
      <c r="Y175" s="6"/>
      <c r="Z175" s="6"/>
      <c r="AA175" s="6"/>
      <c r="AB175" s="6"/>
      <c r="AC175" s="6"/>
      <c r="AD175" s="6"/>
      <c r="AE175" s="7"/>
      <c r="AF175" s="7"/>
      <c r="AG175" s="7"/>
      <c r="AH175" s="7"/>
      <c r="AI175" s="7"/>
      <c r="AJ175" s="7" t="b">
        <v>0</v>
      </c>
      <c r="AKX175" s="0"/>
      <c r="AKY175" s="0"/>
      <c r="AKZ175" s="0"/>
      <c r="ALA175" s="0"/>
      <c r="ALB175" s="0"/>
      <c r="ALC175" s="0"/>
      <c r="ALD175" s="0"/>
      <c r="ALE175" s="0"/>
      <c r="ALF175" s="0"/>
      <c r="ALG175" s="0"/>
      <c r="ALH175" s="0"/>
      <c r="ALI175" s="0"/>
      <c r="ALJ175" s="0"/>
      <c r="ALK175" s="0"/>
      <c r="ALL175" s="0"/>
      <c r="ALM175" s="0"/>
      <c r="ALN175" s="0"/>
      <c r="ALO175" s="0"/>
      <c r="ALP175" s="0"/>
      <c r="ALQ175" s="0"/>
      <c r="ALR175" s="0"/>
      <c r="ALS175" s="0"/>
      <c r="ALT175" s="0"/>
      <c r="ALU175" s="0"/>
      <c r="ALV175" s="0"/>
      <c r="ALW175" s="0"/>
      <c r="ALX175" s="0"/>
      <c r="ALY175" s="0"/>
      <c r="ALZ175" s="0"/>
      <c r="AMA175" s="0"/>
      <c r="AMB175" s="0"/>
      <c r="AMC175" s="0"/>
      <c r="AMD175" s="0"/>
      <c r="AME175" s="0"/>
      <c r="AMF175" s="0"/>
      <c r="AMG175" s="0"/>
      <c r="AMH175" s="0"/>
      <c r="AMI175" s="0"/>
      <c r="AMJ175" s="0"/>
    </row>
    <row r="176" s="14" customFormat="true" ht="12.8" hidden="false" customHeight="false" outlineLevel="0" collapsed="false">
      <c r="A176" s="20" t="n">
        <v>88</v>
      </c>
      <c r="B176" s="6" t="n">
        <v>3</v>
      </c>
      <c r="C176" s="7" t="b">
        <v>0</v>
      </c>
      <c r="D176" s="7" t="b">
        <v>1</v>
      </c>
      <c r="E176" s="7" t="b">
        <v>1</v>
      </c>
      <c r="F176" s="6" t="n">
        <v>1</v>
      </c>
      <c r="G176" s="6"/>
      <c r="H176" s="16" t="b">
        <v>0</v>
      </c>
      <c r="I176" s="7" t="b">
        <v>0</v>
      </c>
      <c r="J176" s="7" t="b">
        <v>0</v>
      </c>
      <c r="K176" s="7" t="b">
        <v>1</v>
      </c>
      <c r="L176" s="6" t="n">
        <v>64</v>
      </c>
      <c r="M176" s="6" t="n">
        <v>36.33217993</v>
      </c>
      <c r="N176" s="6" t="n">
        <v>1</v>
      </c>
      <c r="O176" s="7" t="b">
        <v>1</v>
      </c>
      <c r="P176" s="7" t="b">
        <v>0</v>
      </c>
      <c r="Q176" s="7" t="b">
        <v>0</v>
      </c>
      <c r="R176" s="7" t="b">
        <v>1</v>
      </c>
      <c r="S176" s="7" t="b">
        <v>0</v>
      </c>
      <c r="T176" s="7" t="b">
        <v>0</v>
      </c>
      <c r="U176" s="7" t="b">
        <v>0</v>
      </c>
      <c r="V176" s="6" t="n">
        <v>0</v>
      </c>
      <c r="W176" s="17"/>
      <c r="X176" s="6" t="n">
        <v>1</v>
      </c>
      <c r="Y176" s="6" t="n">
        <v>15.07</v>
      </c>
      <c r="Z176" s="6" t="n">
        <f aca="false">(Y176*7.5006157584566)/X176</f>
        <v>113.034279479941</v>
      </c>
      <c r="AA176" s="6" t="n">
        <v>600</v>
      </c>
      <c r="AB176" s="6"/>
      <c r="AC176" s="6"/>
      <c r="AD176" s="6" t="n">
        <v>31.8</v>
      </c>
      <c r="AE176" s="7" t="b">
        <v>1</v>
      </c>
      <c r="AF176" s="7" t="b">
        <v>0</v>
      </c>
      <c r="AG176" s="7" t="b">
        <v>0</v>
      </c>
      <c r="AH176" s="7" t="b">
        <v>0</v>
      </c>
      <c r="AI176" s="7" t="b">
        <v>1</v>
      </c>
      <c r="AJ176" s="7" t="b">
        <v>0</v>
      </c>
      <c r="AKX176" s="0"/>
      <c r="AKY176" s="0"/>
      <c r="AKZ176" s="0"/>
      <c r="ALA176" s="0"/>
      <c r="ALB176" s="0"/>
      <c r="ALC176" s="0"/>
      <c r="ALD176" s="0"/>
      <c r="ALE176" s="0"/>
      <c r="ALF176" s="0"/>
      <c r="ALG176" s="0"/>
      <c r="ALH176" s="0"/>
      <c r="ALI176" s="0"/>
      <c r="ALJ176" s="0"/>
      <c r="ALK176" s="0"/>
      <c r="ALL176" s="0"/>
      <c r="ALM176" s="0"/>
      <c r="ALN176" s="0"/>
      <c r="ALO176" s="0"/>
      <c r="ALP176" s="0"/>
      <c r="ALQ176" s="0"/>
      <c r="ALR176" s="0"/>
      <c r="ALS176" s="0"/>
      <c r="ALT176" s="0"/>
      <c r="ALU176" s="0"/>
      <c r="ALV176" s="0"/>
      <c r="ALW176" s="0"/>
      <c r="ALX176" s="0"/>
      <c r="ALY176" s="0"/>
      <c r="ALZ176" s="0"/>
      <c r="AMA176" s="0"/>
      <c r="AMB176" s="0"/>
      <c r="AMC176" s="0"/>
      <c r="AMD176" s="0"/>
      <c r="AME176" s="0"/>
      <c r="AMF176" s="0"/>
      <c r="AMG176" s="0"/>
      <c r="AMH176" s="0"/>
      <c r="AMI176" s="0"/>
      <c r="AMJ176" s="0"/>
    </row>
    <row r="177" s="14" customFormat="true" ht="12.8" hidden="false" customHeight="false" outlineLevel="0" collapsed="false">
      <c r="A177" s="20" t="n">
        <v>89</v>
      </c>
      <c r="B177" s="6" t="n">
        <v>3</v>
      </c>
      <c r="C177" s="7" t="b">
        <v>0</v>
      </c>
      <c r="D177" s="7" t="b">
        <v>1</v>
      </c>
      <c r="E177" s="7" t="b">
        <v>1</v>
      </c>
      <c r="F177" s="6" t="n">
        <v>6</v>
      </c>
      <c r="G177" s="6"/>
      <c r="H177" s="16" t="b">
        <v>0</v>
      </c>
      <c r="I177" s="7" t="b">
        <v>0</v>
      </c>
      <c r="J177" s="7" t="b">
        <v>0</v>
      </c>
      <c r="K177" s="7" t="b">
        <v>1</v>
      </c>
      <c r="L177" s="6" t="n">
        <v>72</v>
      </c>
      <c r="M177" s="6" t="n">
        <v>32.04614645</v>
      </c>
      <c r="N177" s="6" t="n">
        <v>4</v>
      </c>
      <c r="O177" s="7" t="b">
        <v>1</v>
      </c>
      <c r="P177" s="7" t="b">
        <v>1</v>
      </c>
      <c r="Q177" s="7" t="b">
        <v>0</v>
      </c>
      <c r="R177" s="7" t="b">
        <v>0</v>
      </c>
      <c r="S177" s="7" t="b">
        <v>1</v>
      </c>
      <c r="T177" s="7" t="b">
        <v>0</v>
      </c>
      <c r="U177" s="7" t="b">
        <v>0</v>
      </c>
      <c r="V177" s="6" t="n">
        <v>0</v>
      </c>
      <c r="W177" s="17" t="n">
        <v>14</v>
      </c>
      <c r="X177" s="6" t="n">
        <v>1</v>
      </c>
      <c r="Y177" s="6" t="n">
        <v>6.32</v>
      </c>
      <c r="Z177" s="6" t="n">
        <f aca="false">(Y177*7.5006157584566)/X177</f>
        <v>47.4038915934457</v>
      </c>
      <c r="AA177" s="6" t="n">
        <v>137</v>
      </c>
      <c r="AB177" s="6" t="n">
        <v>494</v>
      </c>
      <c r="AC177" s="6" t="n">
        <v>8</v>
      </c>
      <c r="AD177" s="6" t="n">
        <v>36.5</v>
      </c>
      <c r="AE177" s="7" t="b">
        <v>1</v>
      </c>
      <c r="AF177" s="7" t="b">
        <v>0</v>
      </c>
      <c r="AG177" s="7" t="b">
        <v>0</v>
      </c>
      <c r="AH177" s="7" t="b">
        <v>0</v>
      </c>
      <c r="AI177" s="7" t="b">
        <v>1</v>
      </c>
      <c r="AJ177" s="7" t="b">
        <v>0</v>
      </c>
      <c r="AKX177" s="0"/>
      <c r="AKY177" s="0"/>
      <c r="AKZ177" s="0"/>
      <c r="ALA177" s="0"/>
      <c r="ALB177" s="0"/>
      <c r="ALC177" s="0"/>
      <c r="ALD177" s="0"/>
      <c r="ALE177" s="0"/>
      <c r="ALF177" s="0"/>
      <c r="ALG177" s="0"/>
      <c r="ALH177" s="0"/>
      <c r="ALI177" s="0"/>
      <c r="ALJ177" s="0"/>
      <c r="ALK177" s="0"/>
      <c r="ALL177" s="0"/>
      <c r="ALM177" s="0"/>
      <c r="ALN177" s="0"/>
      <c r="ALO177" s="0"/>
      <c r="ALP177" s="0"/>
      <c r="ALQ177" s="0"/>
      <c r="ALR177" s="0"/>
      <c r="ALS177" s="0"/>
      <c r="ALT177" s="0"/>
      <c r="ALU177" s="0"/>
      <c r="ALV177" s="0"/>
      <c r="ALW177" s="0"/>
      <c r="ALX177" s="0"/>
      <c r="ALY177" s="0"/>
      <c r="ALZ177" s="0"/>
      <c r="AMA177" s="0"/>
      <c r="AMB177" s="0"/>
      <c r="AMC177" s="0"/>
      <c r="AMD177" s="0"/>
      <c r="AME177" s="0"/>
      <c r="AMF177" s="0"/>
      <c r="AMG177" s="0"/>
      <c r="AMH177" s="0"/>
      <c r="AMI177" s="0"/>
      <c r="AMJ177" s="0"/>
    </row>
    <row r="178" s="14" customFormat="true" ht="12.8" hidden="false" customHeight="false" outlineLevel="0" collapsed="false">
      <c r="C178" s="26"/>
      <c r="D178" s="26"/>
      <c r="E178" s="26"/>
      <c r="H178" s="2"/>
      <c r="I178" s="26"/>
      <c r="J178" s="26"/>
      <c r="K178" s="26"/>
      <c r="O178" s="26"/>
      <c r="P178" s="26"/>
      <c r="Q178" s="26"/>
      <c r="R178" s="26"/>
      <c r="S178" s="26"/>
      <c r="T178" s="26"/>
      <c r="U178" s="26"/>
      <c r="W178" s="27"/>
      <c r="AE178" s="26"/>
      <c r="AF178" s="26"/>
      <c r="AG178" s="26"/>
      <c r="AH178" s="26"/>
      <c r="AI178" s="26"/>
      <c r="AJ178" s="26"/>
      <c r="AKX178" s="0"/>
      <c r="AKY178" s="0"/>
      <c r="AKZ178" s="0"/>
      <c r="ALA178" s="0"/>
      <c r="ALB178" s="0"/>
      <c r="ALC178" s="0"/>
      <c r="ALD178" s="0"/>
      <c r="ALE178" s="0"/>
      <c r="ALF178" s="0"/>
      <c r="ALG178" s="0"/>
      <c r="ALH178" s="0"/>
      <c r="ALI178" s="0"/>
      <c r="ALJ178" s="0"/>
      <c r="ALK178" s="0"/>
      <c r="ALL178" s="0"/>
      <c r="ALM178" s="0"/>
      <c r="ALN178" s="0"/>
      <c r="ALO178" s="0"/>
      <c r="ALP178" s="0"/>
      <c r="ALQ178" s="0"/>
      <c r="ALR178" s="0"/>
      <c r="ALS178" s="0"/>
      <c r="ALT178" s="0"/>
      <c r="ALU178" s="0"/>
      <c r="ALV178" s="0"/>
      <c r="ALW178" s="0"/>
      <c r="ALX178" s="0"/>
      <c r="ALY178" s="0"/>
      <c r="ALZ178" s="0"/>
      <c r="AMA178" s="0"/>
      <c r="AMB178" s="0"/>
      <c r="AMC178" s="0"/>
      <c r="AMD178" s="0"/>
      <c r="AME178" s="0"/>
      <c r="AMF178" s="0"/>
      <c r="AMG178" s="0"/>
      <c r="AMH178" s="0"/>
      <c r="AMI178" s="0"/>
      <c r="AMJ178" s="0"/>
    </row>
    <row r="179" s="14" customFormat="true" ht="12.8" hidden="false" customHeight="false" outlineLevel="0" collapsed="false">
      <c r="C179" s="26"/>
      <c r="D179" s="26"/>
      <c r="E179" s="26"/>
      <c r="H179" s="2"/>
      <c r="I179" s="26"/>
      <c r="J179" s="26"/>
      <c r="K179" s="26"/>
      <c r="O179" s="26"/>
      <c r="P179" s="26"/>
      <c r="Q179" s="26"/>
      <c r="R179" s="26"/>
      <c r="S179" s="26"/>
      <c r="T179" s="26"/>
      <c r="U179" s="26"/>
      <c r="W179" s="27"/>
      <c r="AE179" s="26"/>
      <c r="AF179" s="26"/>
      <c r="AG179" s="26"/>
      <c r="AH179" s="26"/>
      <c r="AI179" s="26"/>
      <c r="AJ179" s="26"/>
      <c r="AKX179" s="0"/>
      <c r="AKY179" s="0"/>
      <c r="AKZ179" s="0"/>
      <c r="ALA179" s="0"/>
      <c r="ALB179" s="0"/>
      <c r="ALC179" s="0"/>
      <c r="ALD179" s="0"/>
      <c r="ALE179" s="0"/>
      <c r="ALF179" s="0"/>
      <c r="ALG179" s="0"/>
      <c r="ALH179" s="0"/>
      <c r="ALI179" s="0"/>
      <c r="ALJ179" s="0"/>
      <c r="ALK179" s="0"/>
      <c r="ALL179" s="0"/>
      <c r="ALM179" s="0"/>
      <c r="ALN179" s="0"/>
      <c r="ALO179" s="0"/>
      <c r="ALP179" s="0"/>
      <c r="ALQ179" s="0"/>
      <c r="ALR179" s="0"/>
      <c r="ALS179" s="0"/>
      <c r="ALT179" s="0"/>
      <c r="ALU179" s="0"/>
      <c r="ALV179" s="0"/>
      <c r="ALW179" s="0"/>
      <c r="ALX179" s="0"/>
      <c r="ALY179" s="0"/>
      <c r="ALZ179" s="0"/>
      <c r="AMA179" s="0"/>
      <c r="AMB179" s="0"/>
      <c r="AMC179" s="0"/>
      <c r="AMD179" s="0"/>
      <c r="AME179" s="0"/>
      <c r="AMF179" s="0"/>
      <c r="AMG179" s="0"/>
      <c r="AMH179" s="0"/>
      <c r="AMI179" s="0"/>
      <c r="AMJ179" s="0"/>
    </row>
    <row r="180" s="14" customFormat="true" ht="12.8" hidden="false" customHeight="false" outlineLevel="0" collapsed="false">
      <c r="C180" s="26"/>
      <c r="D180" s="26"/>
      <c r="E180" s="26"/>
      <c r="H180" s="2"/>
      <c r="I180" s="26"/>
      <c r="J180" s="26"/>
      <c r="K180" s="26"/>
      <c r="O180" s="26"/>
      <c r="P180" s="26"/>
      <c r="Q180" s="26"/>
      <c r="R180" s="26"/>
      <c r="S180" s="26"/>
      <c r="T180" s="26"/>
      <c r="U180" s="26"/>
      <c r="W180" s="27"/>
      <c r="AE180" s="26"/>
      <c r="AF180" s="26"/>
      <c r="AG180" s="26"/>
      <c r="AH180" s="26"/>
      <c r="AI180" s="26"/>
      <c r="AJ180" s="26"/>
      <c r="AKX180" s="0"/>
      <c r="AKY180" s="0"/>
      <c r="AKZ180" s="0"/>
      <c r="ALA180" s="0"/>
      <c r="ALB180" s="0"/>
      <c r="ALC180" s="0"/>
      <c r="ALD180" s="0"/>
      <c r="ALE180" s="0"/>
      <c r="ALF180" s="0"/>
      <c r="ALG180" s="0"/>
      <c r="ALH180" s="0"/>
      <c r="ALI180" s="0"/>
      <c r="ALJ180" s="0"/>
      <c r="ALK180" s="0"/>
      <c r="ALL180" s="0"/>
      <c r="ALM180" s="0"/>
      <c r="ALN180" s="0"/>
      <c r="ALO180" s="0"/>
      <c r="ALP180" s="0"/>
      <c r="ALQ180" s="0"/>
      <c r="ALR180" s="0"/>
      <c r="ALS180" s="0"/>
      <c r="ALT180" s="0"/>
      <c r="ALU180" s="0"/>
      <c r="ALV180" s="0"/>
      <c r="ALW180" s="0"/>
      <c r="ALX180" s="0"/>
      <c r="ALY180" s="0"/>
      <c r="ALZ180" s="0"/>
      <c r="AMA180" s="0"/>
      <c r="AMB180" s="0"/>
      <c r="AMC180" s="0"/>
      <c r="AMD180" s="0"/>
      <c r="AME180" s="0"/>
      <c r="AMF180" s="0"/>
      <c r="AMG180" s="0"/>
      <c r="AMH180" s="0"/>
      <c r="AMI180" s="0"/>
      <c r="AMJ180" s="0"/>
    </row>
    <row r="181" s="14" customFormat="true" ht="12.8" hidden="false" customHeight="false" outlineLevel="0" collapsed="false">
      <c r="C181" s="26"/>
      <c r="D181" s="26"/>
      <c r="E181" s="26"/>
      <c r="H181" s="2"/>
      <c r="I181" s="26"/>
      <c r="J181" s="26"/>
      <c r="K181" s="26"/>
      <c r="O181" s="26"/>
      <c r="P181" s="26"/>
      <c r="Q181" s="26"/>
      <c r="R181" s="26"/>
      <c r="S181" s="26"/>
      <c r="T181" s="26"/>
      <c r="U181" s="26"/>
      <c r="W181" s="27"/>
      <c r="AE181" s="26"/>
      <c r="AF181" s="26"/>
      <c r="AG181" s="26"/>
      <c r="AH181" s="26"/>
      <c r="AI181" s="26"/>
      <c r="AJ181" s="26"/>
      <c r="AKX181" s="0"/>
      <c r="AKY181" s="0"/>
      <c r="AKZ181" s="0"/>
      <c r="ALA181" s="0"/>
      <c r="ALB181" s="0"/>
      <c r="ALC181" s="0"/>
      <c r="ALD181" s="0"/>
      <c r="ALE181" s="0"/>
      <c r="ALF181" s="0"/>
      <c r="ALG181" s="0"/>
      <c r="ALH181" s="0"/>
      <c r="ALI181" s="0"/>
      <c r="ALJ181" s="0"/>
      <c r="ALK181" s="0"/>
      <c r="ALL181" s="0"/>
      <c r="ALM181" s="0"/>
      <c r="ALN181" s="0"/>
      <c r="ALO181" s="0"/>
      <c r="ALP181" s="0"/>
      <c r="ALQ181" s="0"/>
      <c r="ALR181" s="0"/>
      <c r="ALS181" s="0"/>
      <c r="ALT181" s="0"/>
      <c r="ALU181" s="0"/>
      <c r="ALV181" s="0"/>
      <c r="ALW181" s="0"/>
      <c r="ALX181" s="0"/>
      <c r="ALY181" s="0"/>
      <c r="ALZ181" s="0"/>
      <c r="AMA181" s="0"/>
      <c r="AMB181" s="0"/>
      <c r="AMC181" s="0"/>
      <c r="AMD181" s="0"/>
      <c r="AME181" s="0"/>
      <c r="AMF181" s="0"/>
      <c r="AMG181" s="0"/>
      <c r="AMH181" s="0"/>
      <c r="AMI181" s="0"/>
      <c r="AMJ181" s="0"/>
    </row>
    <row r="182" s="14" customFormat="true" ht="12.8" hidden="false" customHeight="false" outlineLevel="0" collapsed="false">
      <c r="C182" s="26"/>
      <c r="D182" s="26"/>
      <c r="E182" s="26"/>
      <c r="H182" s="2"/>
      <c r="I182" s="26"/>
      <c r="J182" s="26"/>
      <c r="K182" s="26"/>
      <c r="O182" s="26"/>
      <c r="P182" s="26"/>
      <c r="Q182" s="26"/>
      <c r="R182" s="26"/>
      <c r="S182" s="26"/>
      <c r="T182" s="26"/>
      <c r="U182" s="26"/>
      <c r="W182" s="27"/>
      <c r="AE182" s="26"/>
      <c r="AF182" s="26"/>
      <c r="AG182" s="26"/>
      <c r="AH182" s="26"/>
      <c r="AI182" s="26"/>
      <c r="AJ182" s="26"/>
      <c r="AKX182" s="0"/>
      <c r="AKY182" s="0"/>
      <c r="AKZ182" s="0"/>
      <c r="ALA182" s="0"/>
      <c r="ALB182" s="0"/>
      <c r="ALC182" s="0"/>
      <c r="ALD182" s="0"/>
      <c r="ALE182" s="0"/>
      <c r="ALF182" s="0"/>
      <c r="ALG182" s="0"/>
      <c r="ALH182" s="0"/>
      <c r="ALI182" s="0"/>
      <c r="ALJ182" s="0"/>
      <c r="ALK182" s="0"/>
      <c r="ALL182" s="0"/>
      <c r="ALM182" s="0"/>
      <c r="ALN182" s="0"/>
      <c r="ALO182" s="0"/>
      <c r="ALP182" s="0"/>
      <c r="ALQ182" s="0"/>
      <c r="ALR182" s="0"/>
      <c r="ALS182" s="0"/>
      <c r="ALT182" s="0"/>
      <c r="ALU182" s="0"/>
      <c r="ALV182" s="0"/>
      <c r="ALW182" s="0"/>
      <c r="ALX182" s="0"/>
      <c r="ALY182" s="0"/>
      <c r="ALZ182" s="0"/>
      <c r="AMA182" s="0"/>
      <c r="AMB182" s="0"/>
      <c r="AMC182" s="0"/>
      <c r="AMD182" s="0"/>
      <c r="AME182" s="0"/>
      <c r="AMF182" s="0"/>
      <c r="AMG182" s="0"/>
      <c r="AMH182" s="0"/>
      <c r="AMI182" s="0"/>
      <c r="AMJ182" s="0"/>
    </row>
    <row r="183" s="14" customFormat="true" ht="12.8" hidden="false" customHeight="false" outlineLevel="0" collapsed="false">
      <c r="C183" s="26"/>
      <c r="D183" s="26"/>
      <c r="E183" s="26"/>
      <c r="H183" s="2"/>
      <c r="I183" s="26"/>
      <c r="J183" s="26"/>
      <c r="K183" s="26"/>
      <c r="O183" s="26"/>
      <c r="P183" s="26"/>
      <c r="Q183" s="26"/>
      <c r="R183" s="26"/>
      <c r="S183" s="26"/>
      <c r="T183" s="26"/>
      <c r="U183" s="26"/>
      <c r="W183" s="27"/>
      <c r="AE183" s="26"/>
      <c r="AF183" s="26"/>
      <c r="AG183" s="26"/>
      <c r="AH183" s="26"/>
      <c r="AI183" s="26"/>
      <c r="AJ183" s="26"/>
      <c r="AKX183" s="0"/>
      <c r="AKY183" s="0"/>
      <c r="AKZ183" s="0"/>
      <c r="ALA183" s="0"/>
      <c r="ALB183" s="0"/>
      <c r="ALC183" s="0"/>
      <c r="ALD183" s="0"/>
      <c r="ALE183" s="0"/>
      <c r="ALF183" s="0"/>
      <c r="ALG183" s="0"/>
      <c r="ALH183" s="0"/>
      <c r="ALI183" s="0"/>
      <c r="ALJ183" s="0"/>
      <c r="ALK183" s="0"/>
      <c r="ALL183" s="0"/>
      <c r="ALM183" s="0"/>
      <c r="ALN183" s="0"/>
      <c r="ALO183" s="0"/>
      <c r="ALP183" s="0"/>
      <c r="ALQ183" s="0"/>
      <c r="ALR183" s="0"/>
      <c r="ALS183" s="0"/>
      <c r="ALT183" s="0"/>
      <c r="ALU183" s="0"/>
      <c r="ALV183" s="0"/>
      <c r="ALW183" s="0"/>
      <c r="ALX183" s="0"/>
      <c r="ALY183" s="0"/>
      <c r="ALZ183" s="0"/>
      <c r="AMA183" s="0"/>
      <c r="AMB183" s="0"/>
      <c r="AMC183" s="0"/>
      <c r="AMD183" s="0"/>
      <c r="AME183" s="0"/>
      <c r="AMF183" s="0"/>
      <c r="AMG183" s="0"/>
      <c r="AMH183" s="0"/>
      <c r="AMI183" s="0"/>
      <c r="AMJ183" s="0"/>
    </row>
    <row r="184" s="14" customFormat="true" ht="12.8" hidden="false" customHeight="false" outlineLevel="0" collapsed="false">
      <c r="C184" s="26"/>
      <c r="D184" s="26"/>
      <c r="E184" s="26"/>
      <c r="H184" s="2"/>
      <c r="I184" s="26"/>
      <c r="J184" s="26"/>
      <c r="K184" s="26"/>
      <c r="O184" s="26"/>
      <c r="P184" s="26"/>
      <c r="Q184" s="26"/>
      <c r="R184" s="26"/>
      <c r="S184" s="26"/>
      <c r="T184" s="26"/>
      <c r="U184" s="26"/>
      <c r="W184" s="27"/>
      <c r="AE184" s="26"/>
      <c r="AF184" s="26"/>
      <c r="AG184" s="26"/>
      <c r="AH184" s="26"/>
      <c r="AI184" s="26"/>
      <c r="AJ184" s="26"/>
      <c r="AKX184" s="0"/>
      <c r="AKY184" s="0"/>
      <c r="AKZ184" s="0"/>
      <c r="ALA184" s="0"/>
      <c r="ALB184" s="0"/>
      <c r="ALC184" s="0"/>
      <c r="ALD184" s="0"/>
      <c r="ALE184" s="0"/>
      <c r="ALF184" s="0"/>
      <c r="ALG184" s="0"/>
      <c r="ALH184" s="0"/>
      <c r="ALI184" s="0"/>
      <c r="ALJ184" s="0"/>
      <c r="ALK184" s="0"/>
      <c r="ALL184" s="0"/>
      <c r="ALM184" s="0"/>
      <c r="ALN184" s="0"/>
      <c r="ALO184" s="0"/>
      <c r="ALP184" s="0"/>
      <c r="ALQ184" s="0"/>
      <c r="ALR184" s="0"/>
      <c r="ALS184" s="0"/>
      <c r="ALT184" s="0"/>
      <c r="ALU184" s="0"/>
      <c r="ALV184" s="0"/>
      <c r="ALW184" s="0"/>
      <c r="ALX184" s="0"/>
      <c r="ALY184" s="0"/>
      <c r="ALZ184" s="0"/>
      <c r="AMA184" s="0"/>
      <c r="AMB184" s="0"/>
      <c r="AMC184" s="0"/>
      <c r="AMD184" s="0"/>
      <c r="AME184" s="0"/>
      <c r="AMF184" s="0"/>
      <c r="AMG184" s="0"/>
      <c r="AMH184" s="0"/>
      <c r="AMI184" s="0"/>
      <c r="AMJ184" s="0"/>
    </row>
    <row r="185" s="14" customFormat="true" ht="12.8" hidden="false" customHeight="false" outlineLevel="0" collapsed="false">
      <c r="C185" s="26"/>
      <c r="D185" s="26"/>
      <c r="E185" s="26"/>
      <c r="H185" s="2"/>
      <c r="I185" s="26"/>
      <c r="J185" s="26"/>
      <c r="K185" s="26"/>
      <c r="O185" s="26"/>
      <c r="P185" s="26"/>
      <c r="Q185" s="26"/>
      <c r="R185" s="26"/>
      <c r="S185" s="26"/>
      <c r="T185" s="26"/>
      <c r="U185" s="26"/>
      <c r="W185" s="27"/>
      <c r="AE185" s="26"/>
      <c r="AF185" s="26"/>
      <c r="AG185" s="26"/>
      <c r="AH185" s="26"/>
      <c r="AI185" s="26"/>
      <c r="AJ185" s="26"/>
      <c r="AKX185" s="0"/>
      <c r="AKY185" s="0"/>
      <c r="AKZ185" s="0"/>
      <c r="ALA185" s="0"/>
      <c r="ALB185" s="0"/>
      <c r="ALC185" s="0"/>
      <c r="ALD185" s="0"/>
      <c r="ALE185" s="0"/>
      <c r="ALF185" s="0"/>
      <c r="ALG185" s="0"/>
      <c r="ALH185" s="0"/>
      <c r="ALI185" s="0"/>
      <c r="ALJ185" s="0"/>
      <c r="ALK185" s="0"/>
      <c r="ALL185" s="0"/>
      <c r="ALM185" s="0"/>
      <c r="ALN185" s="0"/>
      <c r="ALO185" s="0"/>
      <c r="ALP185" s="0"/>
      <c r="ALQ185" s="0"/>
      <c r="ALR185" s="0"/>
      <c r="ALS185" s="0"/>
      <c r="ALT185" s="0"/>
      <c r="ALU185" s="0"/>
      <c r="ALV185" s="0"/>
      <c r="ALW185" s="0"/>
      <c r="ALX185" s="0"/>
      <c r="ALY185" s="0"/>
      <c r="ALZ185" s="0"/>
      <c r="AMA185" s="0"/>
      <c r="AMB185" s="0"/>
      <c r="AMC185" s="0"/>
      <c r="AMD185" s="0"/>
      <c r="AME185" s="0"/>
      <c r="AMF185" s="0"/>
      <c r="AMG185" s="0"/>
      <c r="AMH185" s="0"/>
      <c r="AMI185" s="0"/>
      <c r="AMJ185" s="0"/>
    </row>
    <row r="186" s="14" customFormat="true" ht="12.8" hidden="false" customHeight="false" outlineLevel="0" collapsed="false">
      <c r="C186" s="26"/>
      <c r="D186" s="26"/>
      <c r="E186" s="26"/>
      <c r="H186" s="2"/>
      <c r="I186" s="26"/>
      <c r="J186" s="26"/>
      <c r="K186" s="26"/>
      <c r="O186" s="26"/>
      <c r="P186" s="26"/>
      <c r="Q186" s="26"/>
      <c r="R186" s="26"/>
      <c r="S186" s="26"/>
      <c r="T186" s="26"/>
      <c r="U186" s="26"/>
      <c r="W186" s="27"/>
      <c r="AE186" s="26"/>
      <c r="AF186" s="26"/>
      <c r="AG186" s="26"/>
      <c r="AH186" s="26"/>
      <c r="AI186" s="26"/>
      <c r="AJ186" s="26"/>
      <c r="AKX186" s="0"/>
      <c r="AKY186" s="0"/>
      <c r="AKZ186" s="0"/>
      <c r="ALA186" s="0"/>
      <c r="ALB186" s="0"/>
      <c r="ALC186" s="0"/>
      <c r="ALD186" s="0"/>
      <c r="ALE186" s="0"/>
      <c r="ALF186" s="0"/>
      <c r="ALG186" s="0"/>
      <c r="ALH186" s="0"/>
      <c r="ALI186" s="0"/>
      <c r="ALJ186" s="0"/>
      <c r="ALK186" s="0"/>
      <c r="ALL186" s="0"/>
      <c r="ALM186" s="0"/>
      <c r="ALN186" s="0"/>
      <c r="ALO186" s="0"/>
      <c r="ALP186" s="0"/>
      <c r="ALQ186" s="0"/>
      <c r="ALR186" s="0"/>
      <c r="ALS186" s="0"/>
      <c r="ALT186" s="0"/>
      <c r="ALU186" s="0"/>
      <c r="ALV186" s="0"/>
      <c r="ALW186" s="0"/>
      <c r="ALX186" s="0"/>
      <c r="ALY186" s="0"/>
      <c r="ALZ186" s="0"/>
      <c r="AMA186" s="0"/>
      <c r="AMB186" s="0"/>
      <c r="AMC186" s="0"/>
      <c r="AMD186" s="0"/>
      <c r="AME186" s="0"/>
      <c r="AMF186" s="0"/>
      <c r="AMG186" s="0"/>
      <c r="AMH186" s="0"/>
      <c r="AMI186" s="0"/>
      <c r="AMJ186" s="0"/>
    </row>
    <row r="187" s="14" customFormat="true" ht="12.8" hidden="false" customHeight="false" outlineLevel="0" collapsed="false">
      <c r="C187" s="26"/>
      <c r="D187" s="26"/>
      <c r="E187" s="26"/>
      <c r="H187" s="2"/>
      <c r="I187" s="26"/>
      <c r="J187" s="26"/>
      <c r="K187" s="26"/>
      <c r="O187" s="26"/>
      <c r="P187" s="26"/>
      <c r="Q187" s="26"/>
      <c r="R187" s="26"/>
      <c r="S187" s="26"/>
      <c r="T187" s="26"/>
      <c r="U187" s="26"/>
      <c r="W187" s="27"/>
      <c r="AE187" s="26"/>
      <c r="AF187" s="26"/>
      <c r="AG187" s="26"/>
      <c r="AH187" s="26"/>
      <c r="AI187" s="26"/>
      <c r="AJ187" s="26"/>
      <c r="AKX187" s="0"/>
      <c r="AKY187" s="0"/>
      <c r="AKZ187" s="0"/>
      <c r="ALA187" s="0"/>
      <c r="ALB187" s="0"/>
      <c r="ALC187" s="0"/>
      <c r="ALD187" s="0"/>
      <c r="ALE187" s="0"/>
      <c r="ALF187" s="0"/>
      <c r="ALG187" s="0"/>
      <c r="ALH187" s="0"/>
      <c r="ALI187" s="0"/>
      <c r="ALJ187" s="0"/>
      <c r="ALK187" s="0"/>
      <c r="ALL187" s="0"/>
      <c r="ALM187" s="0"/>
      <c r="ALN187" s="0"/>
      <c r="ALO187" s="0"/>
      <c r="ALP187" s="0"/>
      <c r="ALQ187" s="0"/>
      <c r="ALR187" s="0"/>
      <c r="ALS187" s="0"/>
      <c r="ALT187" s="0"/>
      <c r="ALU187" s="0"/>
      <c r="ALV187" s="0"/>
      <c r="ALW187" s="0"/>
      <c r="ALX187" s="0"/>
      <c r="ALY187" s="0"/>
      <c r="ALZ187" s="0"/>
      <c r="AMA187" s="0"/>
      <c r="AMB187" s="0"/>
      <c r="AMC187" s="0"/>
      <c r="AMD187" s="0"/>
      <c r="AME187" s="0"/>
      <c r="AMF187" s="0"/>
      <c r="AMG187" s="0"/>
      <c r="AMH187" s="0"/>
      <c r="AMI187" s="0"/>
      <c r="AMJ187" s="0"/>
    </row>
    <row r="188" s="14" customFormat="true" ht="12.8" hidden="false" customHeight="false" outlineLevel="0" collapsed="false">
      <c r="C188" s="26"/>
      <c r="D188" s="26"/>
      <c r="E188" s="26"/>
      <c r="H188" s="2"/>
      <c r="I188" s="26"/>
      <c r="J188" s="26"/>
      <c r="K188" s="26"/>
      <c r="O188" s="26"/>
      <c r="P188" s="26"/>
      <c r="Q188" s="26"/>
      <c r="R188" s="26"/>
      <c r="S188" s="26"/>
      <c r="T188" s="26"/>
      <c r="U188" s="26"/>
      <c r="W188" s="27"/>
      <c r="AE188" s="26"/>
      <c r="AF188" s="26"/>
      <c r="AG188" s="26"/>
      <c r="AH188" s="26"/>
      <c r="AI188" s="26"/>
      <c r="AJ188" s="26"/>
      <c r="AKX188" s="0"/>
      <c r="AKY188" s="0"/>
      <c r="AKZ188" s="0"/>
      <c r="ALA188" s="0"/>
      <c r="ALB188" s="0"/>
      <c r="ALC188" s="0"/>
      <c r="ALD188" s="0"/>
      <c r="ALE188" s="0"/>
      <c r="ALF188" s="0"/>
      <c r="ALG188" s="0"/>
      <c r="ALH188" s="0"/>
      <c r="ALI188" s="0"/>
      <c r="ALJ188" s="0"/>
      <c r="ALK188" s="0"/>
      <c r="ALL188" s="0"/>
      <c r="ALM188" s="0"/>
      <c r="ALN188" s="0"/>
      <c r="ALO188" s="0"/>
      <c r="ALP188" s="0"/>
      <c r="ALQ188" s="0"/>
      <c r="ALR188" s="0"/>
      <c r="ALS188" s="0"/>
      <c r="ALT188" s="0"/>
      <c r="ALU188" s="0"/>
      <c r="ALV188" s="0"/>
      <c r="ALW188" s="0"/>
      <c r="ALX188" s="0"/>
      <c r="ALY188" s="0"/>
      <c r="ALZ188" s="0"/>
      <c r="AMA188" s="0"/>
      <c r="AMB188" s="0"/>
      <c r="AMC188" s="0"/>
      <c r="AMD188" s="0"/>
      <c r="AME188" s="0"/>
      <c r="AMF188" s="0"/>
      <c r="AMG188" s="0"/>
      <c r="AMH188" s="0"/>
      <c r="AMI188" s="0"/>
      <c r="AMJ188" s="0"/>
    </row>
    <row r="189" s="14" customFormat="true" ht="12.8" hidden="false" customHeight="false" outlineLevel="0" collapsed="false">
      <c r="C189" s="26"/>
      <c r="D189" s="26"/>
      <c r="E189" s="26"/>
      <c r="H189" s="2"/>
      <c r="I189" s="26"/>
      <c r="J189" s="26"/>
      <c r="K189" s="26"/>
      <c r="O189" s="26"/>
      <c r="P189" s="26"/>
      <c r="Q189" s="26"/>
      <c r="R189" s="26"/>
      <c r="S189" s="26"/>
      <c r="T189" s="26"/>
      <c r="U189" s="26"/>
      <c r="W189" s="27"/>
      <c r="AE189" s="26"/>
      <c r="AF189" s="26"/>
      <c r="AG189" s="26"/>
      <c r="AH189" s="26"/>
      <c r="AI189" s="26"/>
      <c r="AJ189" s="26"/>
      <c r="AKX189" s="0"/>
      <c r="AKY189" s="0"/>
      <c r="AKZ189" s="0"/>
      <c r="ALA189" s="0"/>
      <c r="ALB189" s="0"/>
      <c r="ALC189" s="0"/>
      <c r="ALD189" s="0"/>
      <c r="ALE189" s="0"/>
      <c r="ALF189" s="0"/>
      <c r="ALG189" s="0"/>
      <c r="ALH189" s="0"/>
      <c r="ALI189" s="0"/>
      <c r="ALJ189" s="0"/>
      <c r="ALK189" s="0"/>
      <c r="ALL189" s="0"/>
      <c r="ALM189" s="0"/>
      <c r="ALN189" s="0"/>
      <c r="ALO189" s="0"/>
      <c r="ALP189" s="0"/>
      <c r="ALQ189" s="0"/>
      <c r="ALR189" s="0"/>
      <c r="ALS189" s="0"/>
      <c r="ALT189" s="0"/>
      <c r="ALU189" s="0"/>
      <c r="ALV189" s="0"/>
      <c r="ALW189" s="0"/>
      <c r="ALX189" s="0"/>
      <c r="ALY189" s="0"/>
      <c r="ALZ189" s="0"/>
      <c r="AMA189" s="0"/>
      <c r="AMB189" s="0"/>
      <c r="AMC189" s="0"/>
      <c r="AMD189" s="0"/>
      <c r="AME189" s="0"/>
      <c r="AMF189" s="0"/>
      <c r="AMG189" s="0"/>
      <c r="AMH189" s="0"/>
      <c r="AMI189" s="0"/>
      <c r="AMJ189" s="0"/>
    </row>
    <row r="190" s="14" customFormat="true" ht="12.8" hidden="false" customHeight="false" outlineLevel="0" collapsed="false">
      <c r="C190" s="26"/>
      <c r="D190" s="26"/>
      <c r="E190" s="26"/>
      <c r="H190" s="2"/>
      <c r="I190" s="26"/>
      <c r="J190" s="26"/>
      <c r="K190" s="26"/>
      <c r="O190" s="26"/>
      <c r="P190" s="26"/>
      <c r="Q190" s="26"/>
      <c r="R190" s="26"/>
      <c r="S190" s="26"/>
      <c r="T190" s="26"/>
      <c r="U190" s="26"/>
      <c r="W190" s="27"/>
      <c r="AE190" s="26"/>
      <c r="AF190" s="26"/>
      <c r="AG190" s="26"/>
      <c r="AH190" s="26"/>
      <c r="AI190" s="26"/>
      <c r="AJ190" s="26"/>
      <c r="AKX190" s="0"/>
      <c r="AKY190" s="0"/>
      <c r="AKZ190" s="0"/>
      <c r="ALA190" s="0"/>
      <c r="ALB190" s="0"/>
      <c r="ALC190" s="0"/>
      <c r="ALD190" s="0"/>
      <c r="ALE190" s="0"/>
      <c r="ALF190" s="0"/>
      <c r="ALG190" s="0"/>
      <c r="ALH190" s="0"/>
      <c r="ALI190" s="0"/>
      <c r="ALJ190" s="0"/>
      <c r="ALK190" s="0"/>
      <c r="ALL190" s="0"/>
      <c r="ALM190" s="0"/>
      <c r="ALN190" s="0"/>
      <c r="ALO190" s="0"/>
      <c r="ALP190" s="0"/>
      <c r="ALQ190" s="0"/>
      <c r="ALR190" s="0"/>
      <c r="ALS190" s="0"/>
      <c r="ALT190" s="0"/>
      <c r="ALU190" s="0"/>
      <c r="ALV190" s="0"/>
      <c r="ALW190" s="0"/>
      <c r="ALX190" s="0"/>
      <c r="ALY190" s="0"/>
      <c r="ALZ190" s="0"/>
      <c r="AMA190" s="0"/>
      <c r="AMB190" s="0"/>
      <c r="AMC190" s="0"/>
      <c r="AMD190" s="0"/>
      <c r="AME190" s="0"/>
      <c r="AMF190" s="0"/>
      <c r="AMG190" s="0"/>
      <c r="AMH190" s="0"/>
      <c r="AMI190" s="0"/>
      <c r="AMJ190" s="0"/>
    </row>
    <row r="191" s="14" customFormat="true" ht="12.8" hidden="false" customHeight="false" outlineLevel="0" collapsed="false">
      <c r="C191" s="26"/>
      <c r="D191" s="26"/>
      <c r="E191" s="26"/>
      <c r="H191" s="2"/>
      <c r="I191" s="26"/>
      <c r="J191" s="26"/>
      <c r="K191" s="26"/>
      <c r="O191" s="26"/>
      <c r="P191" s="26"/>
      <c r="Q191" s="26"/>
      <c r="R191" s="26"/>
      <c r="S191" s="26"/>
      <c r="T191" s="26"/>
      <c r="U191" s="26"/>
      <c r="W191" s="27"/>
      <c r="AE191" s="26"/>
      <c r="AF191" s="26"/>
      <c r="AG191" s="26"/>
      <c r="AH191" s="26"/>
      <c r="AI191" s="26"/>
      <c r="AJ191" s="26"/>
      <c r="AKX191" s="0"/>
      <c r="AKY191" s="0"/>
      <c r="AKZ191" s="0"/>
      <c r="ALA191" s="0"/>
      <c r="ALB191" s="0"/>
      <c r="ALC191" s="0"/>
      <c r="ALD191" s="0"/>
      <c r="ALE191" s="0"/>
      <c r="ALF191" s="0"/>
      <c r="ALG191" s="0"/>
      <c r="ALH191" s="0"/>
      <c r="ALI191" s="0"/>
      <c r="ALJ191" s="0"/>
      <c r="ALK191" s="0"/>
      <c r="ALL191" s="0"/>
      <c r="ALM191" s="0"/>
      <c r="ALN191" s="0"/>
      <c r="ALO191" s="0"/>
      <c r="ALP191" s="0"/>
      <c r="ALQ191" s="0"/>
      <c r="ALR191" s="0"/>
      <c r="ALS191" s="0"/>
      <c r="ALT191" s="0"/>
      <c r="ALU191" s="0"/>
      <c r="ALV191" s="0"/>
      <c r="ALW191" s="0"/>
      <c r="ALX191" s="0"/>
      <c r="ALY191" s="0"/>
      <c r="ALZ191" s="0"/>
      <c r="AMA191" s="0"/>
      <c r="AMB191" s="0"/>
      <c r="AMC191" s="0"/>
      <c r="AMD191" s="0"/>
      <c r="AME191" s="0"/>
      <c r="AMF191" s="0"/>
      <c r="AMG191" s="0"/>
      <c r="AMH191" s="0"/>
      <c r="AMI191" s="0"/>
      <c r="AMJ191" s="0"/>
    </row>
    <row r="192" s="14" customFormat="true" ht="12.8" hidden="false" customHeight="false" outlineLevel="0" collapsed="false">
      <c r="C192" s="26"/>
      <c r="D192" s="26"/>
      <c r="E192" s="26"/>
      <c r="H192" s="2"/>
      <c r="I192" s="26"/>
      <c r="J192" s="26"/>
      <c r="K192" s="26"/>
      <c r="O192" s="26"/>
      <c r="P192" s="26"/>
      <c r="Q192" s="26"/>
      <c r="R192" s="26"/>
      <c r="S192" s="26"/>
      <c r="T192" s="26"/>
      <c r="U192" s="26"/>
      <c r="W192" s="27"/>
      <c r="AE192" s="26"/>
      <c r="AF192" s="26"/>
      <c r="AG192" s="26"/>
      <c r="AH192" s="26"/>
      <c r="AI192" s="26"/>
      <c r="AJ192" s="26"/>
      <c r="AKX192" s="0"/>
      <c r="AKY192" s="0"/>
      <c r="AKZ192" s="0"/>
      <c r="ALA192" s="0"/>
      <c r="ALB192" s="0"/>
      <c r="ALC192" s="0"/>
      <c r="ALD192" s="0"/>
      <c r="ALE192" s="0"/>
      <c r="ALF192" s="0"/>
      <c r="ALG192" s="0"/>
      <c r="ALH192" s="0"/>
      <c r="ALI192" s="0"/>
      <c r="ALJ192" s="0"/>
      <c r="ALK192" s="0"/>
      <c r="ALL192" s="0"/>
      <c r="ALM192" s="0"/>
      <c r="ALN192" s="0"/>
      <c r="ALO192" s="0"/>
      <c r="ALP192" s="0"/>
      <c r="ALQ192" s="0"/>
      <c r="ALR192" s="0"/>
      <c r="ALS192" s="0"/>
      <c r="ALT192" s="0"/>
      <c r="ALU192" s="0"/>
      <c r="ALV192" s="0"/>
      <c r="ALW192" s="0"/>
      <c r="ALX192" s="0"/>
      <c r="ALY192" s="0"/>
      <c r="ALZ192" s="0"/>
      <c r="AMA192" s="0"/>
      <c r="AMB192" s="0"/>
      <c r="AMC192" s="0"/>
      <c r="AMD192" s="0"/>
      <c r="AME192" s="0"/>
      <c r="AMF192" s="0"/>
      <c r="AMG192" s="0"/>
      <c r="AMH192" s="0"/>
      <c r="AMI192" s="0"/>
      <c r="AMJ192" s="0"/>
    </row>
    <row r="193" s="14" customFormat="true" ht="12.8" hidden="false" customHeight="false" outlineLevel="0" collapsed="false">
      <c r="C193" s="26"/>
      <c r="D193" s="26"/>
      <c r="E193" s="26"/>
      <c r="H193" s="2"/>
      <c r="I193" s="26"/>
      <c r="J193" s="26"/>
      <c r="K193" s="26"/>
      <c r="O193" s="26"/>
      <c r="P193" s="26"/>
      <c r="Q193" s="26"/>
      <c r="R193" s="26"/>
      <c r="S193" s="26"/>
      <c r="T193" s="26"/>
      <c r="U193" s="26"/>
      <c r="W193" s="27"/>
      <c r="AE193" s="26"/>
      <c r="AF193" s="26"/>
      <c r="AG193" s="26"/>
      <c r="AH193" s="26"/>
      <c r="AI193" s="26"/>
      <c r="AJ193" s="26"/>
      <c r="AKX193" s="0"/>
      <c r="AKY193" s="0"/>
      <c r="AKZ193" s="0"/>
      <c r="ALA193" s="0"/>
      <c r="ALB193" s="0"/>
      <c r="ALC193" s="0"/>
      <c r="ALD193" s="0"/>
      <c r="ALE193" s="0"/>
      <c r="ALF193" s="0"/>
      <c r="ALG193" s="0"/>
      <c r="ALH193" s="0"/>
      <c r="ALI193" s="0"/>
      <c r="ALJ193" s="0"/>
      <c r="ALK193" s="0"/>
      <c r="ALL193" s="0"/>
      <c r="ALM193" s="0"/>
      <c r="ALN193" s="0"/>
      <c r="ALO193" s="0"/>
      <c r="ALP193" s="0"/>
      <c r="ALQ193" s="0"/>
      <c r="ALR193" s="0"/>
      <c r="ALS193" s="0"/>
      <c r="ALT193" s="0"/>
      <c r="ALU193" s="0"/>
      <c r="ALV193" s="0"/>
      <c r="ALW193" s="0"/>
      <c r="ALX193" s="0"/>
      <c r="ALY193" s="0"/>
      <c r="ALZ193" s="0"/>
      <c r="AMA193" s="0"/>
      <c r="AMB193" s="0"/>
      <c r="AMC193" s="0"/>
      <c r="AMD193" s="0"/>
      <c r="AME193" s="0"/>
      <c r="AMF193" s="0"/>
      <c r="AMG193" s="0"/>
      <c r="AMH193" s="0"/>
      <c r="AMI193" s="0"/>
      <c r="AMJ193" s="0"/>
    </row>
    <row r="194" s="14" customFormat="true" ht="12.8" hidden="false" customHeight="false" outlineLevel="0" collapsed="false">
      <c r="C194" s="26"/>
      <c r="D194" s="26"/>
      <c r="E194" s="26"/>
      <c r="H194" s="2"/>
      <c r="I194" s="26"/>
      <c r="J194" s="26"/>
      <c r="K194" s="26"/>
      <c r="O194" s="26"/>
      <c r="P194" s="26"/>
      <c r="Q194" s="26"/>
      <c r="R194" s="26"/>
      <c r="S194" s="26"/>
      <c r="T194" s="26"/>
      <c r="U194" s="26"/>
      <c r="W194" s="27"/>
      <c r="AE194" s="26"/>
      <c r="AF194" s="26"/>
      <c r="AG194" s="26"/>
      <c r="AH194" s="26"/>
      <c r="AI194" s="26"/>
      <c r="AJ194" s="26"/>
      <c r="AKX194" s="0"/>
      <c r="AKY194" s="0"/>
      <c r="AKZ194" s="0"/>
      <c r="ALA194" s="0"/>
      <c r="ALB194" s="0"/>
      <c r="ALC194" s="0"/>
      <c r="ALD194" s="0"/>
      <c r="ALE194" s="0"/>
      <c r="ALF194" s="0"/>
      <c r="ALG194" s="0"/>
      <c r="ALH194" s="0"/>
      <c r="ALI194" s="0"/>
      <c r="ALJ194" s="0"/>
      <c r="ALK194" s="0"/>
      <c r="ALL194" s="0"/>
      <c r="ALM194" s="0"/>
      <c r="ALN194" s="0"/>
      <c r="ALO194" s="0"/>
      <c r="ALP194" s="0"/>
      <c r="ALQ194" s="0"/>
      <c r="ALR194" s="0"/>
      <c r="ALS194" s="0"/>
      <c r="ALT194" s="0"/>
      <c r="ALU194" s="0"/>
      <c r="ALV194" s="0"/>
      <c r="ALW194" s="0"/>
      <c r="ALX194" s="0"/>
      <c r="ALY194" s="0"/>
      <c r="ALZ194" s="0"/>
      <c r="AMA194" s="0"/>
      <c r="AMB194" s="0"/>
      <c r="AMC194" s="0"/>
      <c r="AMD194" s="0"/>
      <c r="AME194" s="0"/>
      <c r="AMF194" s="0"/>
      <c r="AMG194" s="0"/>
      <c r="AMH194" s="0"/>
      <c r="AMI194" s="0"/>
      <c r="AMJ194" s="0"/>
    </row>
    <row r="195" s="14" customFormat="true" ht="12.8" hidden="false" customHeight="false" outlineLevel="0" collapsed="false">
      <c r="C195" s="26"/>
      <c r="D195" s="26"/>
      <c r="E195" s="26"/>
      <c r="H195" s="2"/>
      <c r="I195" s="26"/>
      <c r="J195" s="26"/>
      <c r="K195" s="26"/>
      <c r="O195" s="26"/>
      <c r="P195" s="26"/>
      <c r="Q195" s="26"/>
      <c r="R195" s="26"/>
      <c r="S195" s="26"/>
      <c r="T195" s="26"/>
      <c r="U195" s="26"/>
      <c r="W195" s="27"/>
      <c r="AE195" s="26"/>
      <c r="AF195" s="26"/>
      <c r="AG195" s="26"/>
      <c r="AH195" s="26"/>
      <c r="AI195" s="26"/>
      <c r="AJ195" s="26"/>
      <c r="AKX195" s="0"/>
      <c r="AKY195" s="0"/>
      <c r="AKZ195" s="0"/>
      <c r="ALA195" s="0"/>
      <c r="ALB195" s="0"/>
      <c r="ALC195" s="0"/>
      <c r="ALD195" s="0"/>
      <c r="ALE195" s="0"/>
      <c r="ALF195" s="0"/>
      <c r="ALG195" s="0"/>
      <c r="ALH195" s="0"/>
      <c r="ALI195" s="0"/>
      <c r="ALJ195" s="0"/>
      <c r="ALK195" s="0"/>
      <c r="ALL195" s="0"/>
      <c r="ALM195" s="0"/>
      <c r="ALN195" s="0"/>
      <c r="ALO195" s="0"/>
      <c r="ALP195" s="0"/>
      <c r="ALQ195" s="0"/>
      <c r="ALR195" s="0"/>
      <c r="ALS195" s="0"/>
      <c r="ALT195" s="0"/>
      <c r="ALU195" s="0"/>
      <c r="ALV195" s="0"/>
      <c r="ALW195" s="0"/>
      <c r="ALX195" s="0"/>
      <c r="ALY195" s="0"/>
      <c r="ALZ195" s="0"/>
      <c r="AMA195" s="0"/>
      <c r="AMB195" s="0"/>
      <c r="AMC195" s="0"/>
      <c r="AMD195" s="0"/>
      <c r="AME195" s="0"/>
      <c r="AMF195" s="0"/>
      <c r="AMG195" s="0"/>
      <c r="AMH195" s="0"/>
      <c r="AMI195" s="0"/>
      <c r="AMJ195" s="0"/>
    </row>
    <row r="196" s="14" customFormat="true" ht="12.8" hidden="false" customHeight="false" outlineLevel="0" collapsed="false">
      <c r="C196" s="26"/>
      <c r="D196" s="26"/>
      <c r="E196" s="26"/>
      <c r="H196" s="2"/>
      <c r="I196" s="26"/>
      <c r="J196" s="26"/>
      <c r="K196" s="26"/>
      <c r="O196" s="26"/>
      <c r="P196" s="26"/>
      <c r="Q196" s="26"/>
      <c r="R196" s="26"/>
      <c r="S196" s="26"/>
      <c r="T196" s="26"/>
      <c r="U196" s="26"/>
      <c r="W196" s="27"/>
      <c r="AE196" s="26"/>
      <c r="AF196" s="26"/>
      <c r="AG196" s="26"/>
      <c r="AH196" s="26"/>
      <c r="AI196" s="26"/>
      <c r="AJ196" s="26"/>
      <c r="AKX196" s="0"/>
      <c r="AKY196" s="0"/>
      <c r="AKZ196" s="0"/>
      <c r="ALA196" s="0"/>
      <c r="ALB196" s="0"/>
      <c r="ALC196" s="0"/>
      <c r="ALD196" s="0"/>
      <c r="ALE196" s="0"/>
      <c r="ALF196" s="0"/>
      <c r="ALG196" s="0"/>
      <c r="ALH196" s="0"/>
      <c r="ALI196" s="0"/>
      <c r="ALJ196" s="0"/>
      <c r="ALK196" s="0"/>
      <c r="ALL196" s="0"/>
      <c r="ALM196" s="0"/>
      <c r="ALN196" s="0"/>
      <c r="ALO196" s="0"/>
      <c r="ALP196" s="0"/>
      <c r="ALQ196" s="0"/>
      <c r="ALR196" s="0"/>
      <c r="ALS196" s="0"/>
      <c r="ALT196" s="0"/>
      <c r="ALU196" s="0"/>
      <c r="ALV196" s="0"/>
      <c r="ALW196" s="0"/>
      <c r="ALX196" s="0"/>
      <c r="ALY196" s="0"/>
      <c r="ALZ196" s="0"/>
      <c r="AMA196" s="0"/>
      <c r="AMB196" s="0"/>
      <c r="AMC196" s="0"/>
      <c r="AMD196" s="0"/>
      <c r="AME196" s="0"/>
      <c r="AMF196" s="0"/>
      <c r="AMG196" s="0"/>
      <c r="AMH196" s="0"/>
      <c r="AMI196" s="0"/>
      <c r="AMJ196" s="0"/>
    </row>
    <row r="197" s="14" customFormat="true" ht="12.8" hidden="false" customHeight="false" outlineLevel="0" collapsed="false">
      <c r="C197" s="26"/>
      <c r="E197" s="26"/>
      <c r="H197" s="2"/>
      <c r="I197" s="26"/>
      <c r="J197" s="26"/>
      <c r="K197" s="26"/>
      <c r="O197" s="26"/>
      <c r="P197" s="26"/>
      <c r="Q197" s="26"/>
      <c r="R197" s="26"/>
      <c r="S197" s="26"/>
      <c r="T197" s="26"/>
      <c r="U197" s="26"/>
      <c r="W197" s="27"/>
      <c r="AE197" s="26"/>
      <c r="AF197" s="26"/>
      <c r="AG197" s="26"/>
      <c r="AH197" s="26"/>
      <c r="AI197" s="26"/>
      <c r="AJ197" s="26"/>
      <c r="AKX197" s="0"/>
      <c r="AKY197" s="0"/>
      <c r="AKZ197" s="0"/>
      <c r="ALA197" s="0"/>
      <c r="ALB197" s="0"/>
      <c r="ALC197" s="0"/>
      <c r="ALD197" s="0"/>
      <c r="ALE197" s="0"/>
      <c r="ALF197" s="0"/>
      <c r="ALG197" s="0"/>
      <c r="ALH197" s="0"/>
      <c r="ALI197" s="0"/>
      <c r="ALJ197" s="0"/>
      <c r="ALK197" s="0"/>
      <c r="ALL197" s="0"/>
      <c r="ALM197" s="0"/>
      <c r="ALN197" s="0"/>
      <c r="ALO197" s="0"/>
      <c r="ALP197" s="0"/>
      <c r="ALQ197" s="0"/>
      <c r="ALR197" s="0"/>
      <c r="ALS197" s="0"/>
      <c r="ALT197" s="0"/>
      <c r="ALU197" s="0"/>
      <c r="ALV197" s="0"/>
      <c r="ALW197" s="0"/>
      <c r="ALX197" s="0"/>
      <c r="ALY197" s="0"/>
      <c r="ALZ197" s="0"/>
      <c r="AMA197" s="0"/>
      <c r="AMB197" s="0"/>
      <c r="AMC197" s="0"/>
      <c r="AMD197" s="0"/>
      <c r="AME197" s="0"/>
      <c r="AMF197" s="0"/>
      <c r="AMG197" s="0"/>
      <c r="AMH197" s="0"/>
      <c r="AMI197" s="0"/>
      <c r="AMJ197" s="0"/>
    </row>
    <row r="198" s="14" customFormat="true" ht="12.8" hidden="false" customHeight="false" outlineLevel="0" collapsed="false">
      <c r="C198" s="26"/>
      <c r="E198" s="26"/>
      <c r="H198" s="2"/>
      <c r="I198" s="26"/>
      <c r="J198" s="26"/>
      <c r="K198" s="26"/>
      <c r="O198" s="26"/>
      <c r="P198" s="26"/>
      <c r="Q198" s="26"/>
      <c r="R198" s="26"/>
      <c r="S198" s="26"/>
      <c r="T198" s="26"/>
      <c r="U198" s="26"/>
      <c r="W198" s="27"/>
      <c r="AE198" s="26"/>
      <c r="AF198" s="26"/>
      <c r="AG198" s="26"/>
      <c r="AH198" s="26"/>
      <c r="AI198" s="26"/>
      <c r="AJ198" s="26"/>
      <c r="AKX198" s="0"/>
      <c r="AKY198" s="0"/>
      <c r="AKZ198" s="0"/>
      <c r="ALA198" s="0"/>
      <c r="ALB198" s="0"/>
      <c r="ALC198" s="0"/>
      <c r="ALD198" s="0"/>
      <c r="ALE198" s="0"/>
      <c r="ALF198" s="0"/>
      <c r="ALG198" s="0"/>
      <c r="ALH198" s="0"/>
      <c r="ALI198" s="0"/>
      <c r="ALJ198" s="0"/>
      <c r="ALK198" s="0"/>
      <c r="ALL198" s="0"/>
      <c r="ALM198" s="0"/>
      <c r="ALN198" s="0"/>
      <c r="ALO198" s="0"/>
      <c r="ALP198" s="0"/>
      <c r="ALQ198" s="0"/>
      <c r="ALR198" s="0"/>
      <c r="ALS198" s="0"/>
      <c r="ALT198" s="0"/>
      <c r="ALU198" s="0"/>
      <c r="ALV198" s="0"/>
      <c r="ALW198" s="0"/>
      <c r="ALX198" s="0"/>
      <c r="ALY198" s="0"/>
      <c r="ALZ198" s="0"/>
      <c r="AMA198" s="0"/>
      <c r="AMB198" s="0"/>
      <c r="AMC198" s="0"/>
      <c r="AMD198" s="0"/>
      <c r="AME198" s="0"/>
      <c r="AMF198" s="0"/>
      <c r="AMG198" s="0"/>
      <c r="AMH198" s="0"/>
      <c r="AMI198" s="0"/>
      <c r="AMJ198" s="0"/>
    </row>
    <row r="199" s="14" customFormat="true" ht="12.8" hidden="false" customHeight="false" outlineLevel="0" collapsed="false">
      <c r="C199" s="26"/>
      <c r="E199" s="26"/>
      <c r="H199" s="2"/>
      <c r="I199" s="26"/>
      <c r="J199" s="26"/>
      <c r="K199" s="26"/>
      <c r="O199" s="26"/>
      <c r="P199" s="26"/>
      <c r="Q199" s="26"/>
      <c r="R199" s="26"/>
      <c r="S199" s="26"/>
      <c r="T199" s="26"/>
      <c r="U199" s="26"/>
      <c r="W199" s="27"/>
      <c r="AE199" s="26"/>
      <c r="AF199" s="26"/>
      <c r="AG199" s="26"/>
      <c r="AH199" s="26"/>
      <c r="AI199" s="26"/>
      <c r="AJ199" s="26"/>
      <c r="AKX199" s="0"/>
      <c r="AKY199" s="0"/>
      <c r="AKZ199" s="0"/>
      <c r="ALA199" s="0"/>
      <c r="ALB199" s="0"/>
      <c r="ALC199" s="0"/>
      <c r="ALD199" s="0"/>
      <c r="ALE199" s="0"/>
      <c r="ALF199" s="0"/>
      <c r="ALG199" s="0"/>
      <c r="ALH199" s="0"/>
      <c r="ALI199" s="0"/>
      <c r="ALJ199" s="0"/>
      <c r="ALK199" s="0"/>
      <c r="ALL199" s="0"/>
      <c r="ALM199" s="0"/>
      <c r="ALN199" s="0"/>
      <c r="ALO199" s="0"/>
      <c r="ALP199" s="0"/>
      <c r="ALQ199" s="0"/>
      <c r="ALR199" s="0"/>
      <c r="ALS199" s="0"/>
      <c r="ALT199" s="0"/>
      <c r="ALU199" s="0"/>
      <c r="ALV199" s="0"/>
      <c r="ALW199" s="0"/>
      <c r="ALX199" s="0"/>
      <c r="ALY199" s="0"/>
      <c r="ALZ199" s="0"/>
      <c r="AMA199" s="0"/>
      <c r="AMB199" s="0"/>
      <c r="AMC199" s="0"/>
      <c r="AMD199" s="0"/>
      <c r="AME199" s="0"/>
      <c r="AMF199" s="0"/>
      <c r="AMG199" s="0"/>
      <c r="AMH199" s="0"/>
      <c r="AMI199" s="0"/>
      <c r="AMJ199" s="0"/>
    </row>
    <row r="200" s="14" customFormat="true" ht="12.8" hidden="false" customHeight="false" outlineLevel="0" collapsed="false">
      <c r="C200" s="26"/>
      <c r="E200" s="26"/>
      <c r="H200" s="2"/>
      <c r="I200" s="26"/>
      <c r="J200" s="26"/>
      <c r="K200" s="26"/>
      <c r="O200" s="26"/>
      <c r="P200" s="26"/>
      <c r="Q200" s="26"/>
      <c r="R200" s="26"/>
      <c r="S200" s="26"/>
      <c r="T200" s="26"/>
      <c r="U200" s="26"/>
      <c r="W200" s="27"/>
      <c r="AE200" s="26"/>
      <c r="AF200" s="26"/>
      <c r="AG200" s="26"/>
      <c r="AH200" s="26"/>
      <c r="AI200" s="26"/>
      <c r="AJ200" s="26"/>
      <c r="AKX200" s="0"/>
      <c r="AKY200" s="0"/>
      <c r="AKZ200" s="0"/>
      <c r="ALA200" s="0"/>
      <c r="ALB200" s="0"/>
      <c r="ALC200" s="0"/>
      <c r="ALD200" s="0"/>
      <c r="ALE200" s="0"/>
      <c r="ALF200" s="0"/>
      <c r="ALG200" s="0"/>
      <c r="ALH200" s="0"/>
      <c r="ALI200" s="0"/>
      <c r="ALJ200" s="0"/>
      <c r="ALK200" s="0"/>
      <c r="ALL200" s="0"/>
      <c r="ALM200" s="0"/>
      <c r="ALN200" s="0"/>
      <c r="ALO200" s="0"/>
      <c r="ALP200" s="0"/>
      <c r="ALQ200" s="0"/>
      <c r="ALR200" s="0"/>
      <c r="ALS200" s="0"/>
      <c r="ALT200" s="0"/>
      <c r="ALU200" s="0"/>
      <c r="ALV200" s="0"/>
      <c r="ALW200" s="0"/>
      <c r="ALX200" s="0"/>
      <c r="ALY200" s="0"/>
      <c r="ALZ200" s="0"/>
      <c r="AMA200" s="0"/>
      <c r="AMB200" s="0"/>
      <c r="AMC200" s="0"/>
      <c r="AMD200" s="0"/>
      <c r="AME200" s="0"/>
      <c r="AMF200" s="0"/>
      <c r="AMG200" s="0"/>
      <c r="AMH200" s="0"/>
      <c r="AMI200" s="0"/>
      <c r="AMJ200" s="0"/>
    </row>
    <row r="201" s="14" customFormat="true" ht="12.8" hidden="false" customHeight="false" outlineLevel="0" collapsed="false">
      <c r="C201" s="26"/>
      <c r="E201" s="26"/>
      <c r="H201" s="2"/>
      <c r="I201" s="26"/>
      <c r="J201" s="26"/>
      <c r="K201" s="26"/>
      <c r="O201" s="26"/>
      <c r="P201" s="26"/>
      <c r="Q201" s="26"/>
      <c r="R201" s="26"/>
      <c r="S201" s="26"/>
      <c r="T201" s="26"/>
      <c r="U201" s="26"/>
      <c r="W201" s="27"/>
      <c r="AE201" s="26"/>
      <c r="AF201" s="26"/>
      <c r="AG201" s="26"/>
      <c r="AH201" s="26"/>
      <c r="AI201" s="26"/>
      <c r="AJ201" s="26"/>
      <c r="AKX201" s="0"/>
      <c r="AKY201" s="0"/>
      <c r="AKZ201" s="0"/>
      <c r="ALA201" s="0"/>
      <c r="ALB201" s="0"/>
      <c r="ALC201" s="0"/>
      <c r="ALD201" s="0"/>
      <c r="ALE201" s="0"/>
      <c r="ALF201" s="0"/>
      <c r="ALG201" s="0"/>
      <c r="ALH201" s="0"/>
      <c r="ALI201" s="0"/>
      <c r="ALJ201" s="0"/>
      <c r="ALK201" s="0"/>
      <c r="ALL201" s="0"/>
      <c r="ALM201" s="0"/>
      <c r="ALN201" s="0"/>
      <c r="ALO201" s="0"/>
      <c r="ALP201" s="0"/>
      <c r="ALQ201" s="0"/>
      <c r="ALR201" s="0"/>
      <c r="ALS201" s="0"/>
      <c r="ALT201" s="0"/>
      <c r="ALU201" s="0"/>
      <c r="ALV201" s="0"/>
      <c r="ALW201" s="0"/>
      <c r="ALX201" s="0"/>
      <c r="ALY201" s="0"/>
      <c r="ALZ201" s="0"/>
      <c r="AMA201" s="0"/>
      <c r="AMB201" s="0"/>
      <c r="AMC201" s="0"/>
      <c r="AMD201" s="0"/>
      <c r="AME201" s="0"/>
      <c r="AMF201" s="0"/>
      <c r="AMG201" s="0"/>
      <c r="AMH201" s="0"/>
      <c r="AMI201" s="0"/>
      <c r="AMJ201" s="0"/>
    </row>
    <row r="202" s="14" customFormat="true" ht="12.8" hidden="false" customHeight="false" outlineLevel="0" collapsed="false">
      <c r="C202" s="26"/>
      <c r="E202" s="26"/>
      <c r="H202" s="2"/>
      <c r="I202" s="26"/>
      <c r="J202" s="26"/>
      <c r="K202" s="26"/>
      <c r="O202" s="26"/>
      <c r="P202" s="26"/>
      <c r="Q202" s="26"/>
      <c r="R202" s="26"/>
      <c r="S202" s="26"/>
      <c r="T202" s="26"/>
      <c r="U202" s="26"/>
      <c r="W202" s="27"/>
      <c r="AE202" s="26"/>
      <c r="AF202" s="26"/>
      <c r="AG202" s="26"/>
      <c r="AH202" s="26"/>
      <c r="AI202" s="26"/>
      <c r="AJ202" s="26"/>
      <c r="AKX202" s="0"/>
      <c r="AKY202" s="0"/>
      <c r="AKZ202" s="0"/>
      <c r="ALA202" s="0"/>
      <c r="ALB202" s="0"/>
      <c r="ALC202" s="0"/>
      <c r="ALD202" s="0"/>
      <c r="ALE202" s="0"/>
      <c r="ALF202" s="0"/>
      <c r="ALG202" s="0"/>
      <c r="ALH202" s="0"/>
      <c r="ALI202" s="0"/>
      <c r="ALJ202" s="0"/>
      <c r="ALK202" s="0"/>
      <c r="ALL202" s="0"/>
      <c r="ALM202" s="0"/>
      <c r="ALN202" s="0"/>
      <c r="ALO202" s="0"/>
      <c r="ALP202" s="0"/>
      <c r="ALQ202" s="0"/>
      <c r="ALR202" s="0"/>
      <c r="ALS202" s="0"/>
      <c r="ALT202" s="0"/>
      <c r="ALU202" s="0"/>
      <c r="ALV202" s="0"/>
      <c r="ALW202" s="0"/>
      <c r="ALX202" s="0"/>
      <c r="ALY202" s="0"/>
      <c r="ALZ202" s="0"/>
      <c r="AMA202" s="0"/>
      <c r="AMB202" s="0"/>
      <c r="AMC202" s="0"/>
      <c r="AMD202" s="0"/>
      <c r="AME202" s="0"/>
      <c r="AMF202" s="0"/>
      <c r="AMG202" s="0"/>
      <c r="AMH202" s="0"/>
      <c r="AMI202" s="0"/>
      <c r="AMJ202" s="0"/>
    </row>
    <row r="203" s="14" customFormat="true" ht="12.8" hidden="false" customHeight="false" outlineLevel="0" collapsed="false">
      <c r="C203" s="26"/>
      <c r="E203" s="26"/>
      <c r="H203" s="2"/>
      <c r="I203" s="26"/>
      <c r="J203" s="26"/>
      <c r="K203" s="26"/>
      <c r="O203" s="26"/>
      <c r="P203" s="26"/>
      <c r="Q203" s="26"/>
      <c r="R203" s="26"/>
      <c r="S203" s="26"/>
      <c r="T203" s="26"/>
      <c r="U203" s="26"/>
      <c r="W203" s="27"/>
      <c r="AE203" s="26"/>
      <c r="AF203" s="26"/>
      <c r="AG203" s="26"/>
      <c r="AH203" s="26"/>
      <c r="AI203" s="26"/>
      <c r="AJ203" s="26"/>
      <c r="AKX203" s="0"/>
      <c r="AKY203" s="0"/>
      <c r="AKZ203" s="0"/>
      <c r="ALA203" s="0"/>
      <c r="ALB203" s="0"/>
      <c r="ALC203" s="0"/>
      <c r="ALD203" s="0"/>
      <c r="ALE203" s="0"/>
      <c r="ALF203" s="0"/>
      <c r="ALG203" s="0"/>
      <c r="ALH203" s="0"/>
      <c r="ALI203" s="0"/>
      <c r="ALJ203" s="0"/>
      <c r="ALK203" s="0"/>
      <c r="ALL203" s="0"/>
      <c r="ALM203" s="0"/>
      <c r="ALN203" s="0"/>
      <c r="ALO203" s="0"/>
      <c r="ALP203" s="0"/>
      <c r="ALQ203" s="0"/>
      <c r="ALR203" s="0"/>
      <c r="ALS203" s="0"/>
      <c r="ALT203" s="0"/>
      <c r="ALU203" s="0"/>
      <c r="ALV203" s="0"/>
      <c r="ALW203" s="0"/>
      <c r="ALX203" s="0"/>
      <c r="ALY203" s="0"/>
      <c r="ALZ203" s="0"/>
      <c r="AMA203" s="0"/>
      <c r="AMB203" s="0"/>
      <c r="AMC203" s="0"/>
      <c r="AMD203" s="0"/>
      <c r="AME203" s="0"/>
      <c r="AMF203" s="0"/>
      <c r="AMG203" s="0"/>
      <c r="AMH203" s="0"/>
      <c r="AMI203" s="0"/>
      <c r="AMJ203" s="0"/>
    </row>
    <row r="204" s="14" customFormat="true" ht="12.8" hidden="false" customHeight="false" outlineLevel="0" collapsed="false">
      <c r="C204" s="26"/>
      <c r="E204" s="26"/>
      <c r="H204" s="2"/>
      <c r="I204" s="26"/>
      <c r="J204" s="26"/>
      <c r="K204" s="26"/>
      <c r="O204" s="26"/>
      <c r="P204" s="26"/>
      <c r="Q204" s="26"/>
      <c r="R204" s="26"/>
      <c r="S204" s="26"/>
      <c r="T204" s="26"/>
      <c r="U204" s="26"/>
      <c r="W204" s="27"/>
      <c r="AE204" s="26"/>
      <c r="AF204" s="26"/>
      <c r="AG204" s="26"/>
      <c r="AH204" s="26"/>
      <c r="AI204" s="26"/>
      <c r="AJ204" s="26"/>
      <c r="AKX204" s="0"/>
      <c r="AKY204" s="0"/>
      <c r="AKZ204" s="0"/>
      <c r="ALA204" s="0"/>
      <c r="ALB204" s="0"/>
      <c r="ALC204" s="0"/>
      <c r="ALD204" s="0"/>
      <c r="ALE204" s="0"/>
      <c r="ALF204" s="0"/>
      <c r="ALG204" s="0"/>
      <c r="ALH204" s="0"/>
      <c r="ALI204" s="0"/>
      <c r="ALJ204" s="0"/>
      <c r="ALK204" s="0"/>
      <c r="ALL204" s="0"/>
      <c r="ALM204" s="0"/>
      <c r="ALN204" s="0"/>
      <c r="ALO204" s="0"/>
      <c r="ALP204" s="0"/>
      <c r="ALQ204" s="0"/>
      <c r="ALR204" s="0"/>
      <c r="ALS204" s="0"/>
      <c r="ALT204" s="0"/>
      <c r="ALU204" s="0"/>
      <c r="ALV204" s="0"/>
      <c r="ALW204" s="0"/>
      <c r="ALX204" s="0"/>
      <c r="ALY204" s="0"/>
      <c r="ALZ204" s="0"/>
      <c r="AMA204" s="0"/>
      <c r="AMB204" s="0"/>
      <c r="AMC204" s="0"/>
      <c r="AMD204" s="0"/>
      <c r="AME204" s="0"/>
      <c r="AMF204" s="0"/>
      <c r="AMG204" s="0"/>
      <c r="AMH204" s="0"/>
      <c r="AMI204" s="0"/>
      <c r="AMJ204" s="0"/>
    </row>
    <row r="205" s="14" customFormat="true" ht="12.8" hidden="false" customHeight="false" outlineLevel="0" collapsed="false">
      <c r="C205" s="26"/>
      <c r="E205" s="26"/>
      <c r="H205" s="2"/>
      <c r="I205" s="26"/>
      <c r="J205" s="26"/>
      <c r="K205" s="26"/>
      <c r="O205" s="26"/>
      <c r="P205" s="26"/>
      <c r="Q205" s="26"/>
      <c r="R205" s="26"/>
      <c r="S205" s="26"/>
      <c r="T205" s="26"/>
      <c r="U205" s="26"/>
      <c r="W205" s="27"/>
      <c r="AE205" s="26"/>
      <c r="AF205" s="26"/>
      <c r="AG205" s="26"/>
      <c r="AH205" s="26"/>
      <c r="AI205" s="26"/>
      <c r="AJ205" s="26"/>
      <c r="AKX205" s="0"/>
      <c r="AKY205" s="0"/>
      <c r="AKZ205" s="0"/>
      <c r="ALA205" s="0"/>
      <c r="ALB205" s="0"/>
      <c r="ALC205" s="0"/>
      <c r="ALD205" s="0"/>
      <c r="ALE205" s="0"/>
      <c r="ALF205" s="0"/>
      <c r="ALG205" s="0"/>
      <c r="ALH205" s="0"/>
      <c r="ALI205" s="0"/>
      <c r="ALJ205" s="0"/>
      <c r="ALK205" s="0"/>
      <c r="ALL205" s="0"/>
      <c r="ALM205" s="0"/>
      <c r="ALN205" s="0"/>
      <c r="ALO205" s="0"/>
      <c r="ALP205" s="0"/>
      <c r="ALQ205" s="0"/>
      <c r="ALR205" s="0"/>
      <c r="ALS205" s="0"/>
      <c r="ALT205" s="0"/>
      <c r="ALU205" s="0"/>
      <c r="ALV205" s="0"/>
      <c r="ALW205" s="0"/>
      <c r="ALX205" s="0"/>
      <c r="ALY205" s="0"/>
      <c r="ALZ205" s="0"/>
      <c r="AMA205" s="0"/>
      <c r="AMB205" s="0"/>
      <c r="AMC205" s="0"/>
      <c r="AMD205" s="0"/>
      <c r="AME205" s="0"/>
      <c r="AMF205" s="0"/>
      <c r="AMG205" s="0"/>
      <c r="AMH205" s="0"/>
      <c r="AMI205" s="0"/>
      <c r="AMJ205" s="0"/>
    </row>
    <row r="206" s="14" customFormat="true" ht="12.8" hidden="false" customHeight="false" outlineLevel="0" collapsed="false">
      <c r="C206" s="26"/>
      <c r="E206" s="26"/>
      <c r="H206" s="2"/>
      <c r="I206" s="26"/>
      <c r="J206" s="26"/>
      <c r="K206" s="26"/>
      <c r="O206" s="26"/>
      <c r="P206" s="26"/>
      <c r="Q206" s="26"/>
      <c r="R206" s="26"/>
      <c r="S206" s="26"/>
      <c r="T206" s="26"/>
      <c r="U206" s="26"/>
      <c r="W206" s="27"/>
      <c r="AE206" s="26"/>
      <c r="AF206" s="26"/>
      <c r="AG206" s="26"/>
      <c r="AH206" s="26"/>
      <c r="AI206" s="26"/>
      <c r="AJ206" s="26"/>
      <c r="AKX206" s="0"/>
      <c r="AKY206" s="0"/>
      <c r="AKZ206" s="0"/>
      <c r="ALA206" s="0"/>
      <c r="ALB206" s="0"/>
      <c r="ALC206" s="0"/>
      <c r="ALD206" s="0"/>
      <c r="ALE206" s="0"/>
      <c r="ALF206" s="0"/>
      <c r="ALG206" s="0"/>
      <c r="ALH206" s="0"/>
      <c r="ALI206" s="0"/>
      <c r="ALJ206" s="0"/>
      <c r="ALK206" s="0"/>
      <c r="ALL206" s="0"/>
      <c r="ALM206" s="0"/>
      <c r="ALN206" s="0"/>
      <c r="ALO206" s="0"/>
      <c r="ALP206" s="0"/>
      <c r="ALQ206" s="0"/>
      <c r="ALR206" s="0"/>
      <c r="ALS206" s="0"/>
      <c r="ALT206" s="0"/>
      <c r="ALU206" s="0"/>
      <c r="ALV206" s="0"/>
      <c r="ALW206" s="0"/>
      <c r="ALX206" s="0"/>
      <c r="ALY206" s="0"/>
      <c r="ALZ206" s="0"/>
      <c r="AMA206" s="0"/>
      <c r="AMB206" s="0"/>
      <c r="AMC206" s="0"/>
      <c r="AMD206" s="0"/>
      <c r="AME206" s="0"/>
      <c r="AMF206" s="0"/>
      <c r="AMG206" s="0"/>
      <c r="AMH206" s="0"/>
      <c r="AMI206" s="0"/>
      <c r="AMJ206" s="0"/>
    </row>
    <row r="207" s="14" customFormat="true" ht="12.8" hidden="false" customHeight="false" outlineLevel="0" collapsed="false">
      <c r="C207" s="26"/>
      <c r="E207" s="26"/>
      <c r="H207" s="2"/>
      <c r="I207" s="26"/>
      <c r="J207" s="26"/>
      <c r="K207" s="26"/>
      <c r="O207" s="26"/>
      <c r="P207" s="26"/>
      <c r="Q207" s="26"/>
      <c r="R207" s="26"/>
      <c r="S207" s="26"/>
      <c r="T207" s="26"/>
      <c r="U207" s="26"/>
      <c r="W207" s="27"/>
      <c r="AE207" s="26"/>
      <c r="AF207" s="26"/>
      <c r="AG207" s="26"/>
      <c r="AH207" s="26"/>
      <c r="AI207" s="26"/>
      <c r="AJ207" s="26"/>
      <c r="AKX207" s="0"/>
      <c r="AKY207" s="0"/>
      <c r="AKZ207" s="0"/>
      <c r="ALA207" s="0"/>
      <c r="ALB207" s="0"/>
      <c r="ALC207" s="0"/>
      <c r="ALD207" s="0"/>
      <c r="ALE207" s="0"/>
      <c r="ALF207" s="0"/>
      <c r="ALG207" s="0"/>
      <c r="ALH207" s="0"/>
      <c r="ALI207" s="0"/>
      <c r="ALJ207" s="0"/>
      <c r="ALK207" s="0"/>
      <c r="ALL207" s="0"/>
      <c r="ALM207" s="0"/>
      <c r="ALN207" s="0"/>
      <c r="ALO207" s="0"/>
      <c r="ALP207" s="0"/>
      <c r="ALQ207" s="0"/>
      <c r="ALR207" s="0"/>
      <c r="ALS207" s="0"/>
      <c r="ALT207" s="0"/>
      <c r="ALU207" s="0"/>
      <c r="ALV207" s="0"/>
      <c r="ALW207" s="0"/>
      <c r="ALX207" s="0"/>
      <c r="ALY207" s="0"/>
      <c r="ALZ207" s="0"/>
      <c r="AMA207" s="0"/>
      <c r="AMB207" s="0"/>
      <c r="AMC207" s="0"/>
      <c r="AMD207" s="0"/>
      <c r="AME207" s="0"/>
      <c r="AMF207" s="0"/>
      <c r="AMG207" s="0"/>
      <c r="AMH207" s="0"/>
      <c r="AMI207" s="0"/>
      <c r="AMJ207" s="0"/>
    </row>
    <row r="208" s="14" customFormat="true" ht="12.8" hidden="false" customHeight="false" outlineLevel="0" collapsed="false">
      <c r="C208" s="26"/>
      <c r="E208" s="26"/>
      <c r="H208" s="2"/>
      <c r="I208" s="26"/>
      <c r="J208" s="26"/>
      <c r="K208" s="26"/>
      <c r="O208" s="26"/>
      <c r="P208" s="26"/>
      <c r="Q208" s="26"/>
      <c r="R208" s="26"/>
      <c r="S208" s="26"/>
      <c r="T208" s="26"/>
      <c r="U208" s="26"/>
      <c r="W208" s="27"/>
      <c r="AE208" s="26"/>
      <c r="AF208" s="26"/>
      <c r="AG208" s="26"/>
      <c r="AH208" s="26"/>
      <c r="AI208" s="26"/>
      <c r="AJ208" s="26"/>
      <c r="AKX208" s="0"/>
      <c r="AKY208" s="0"/>
      <c r="AKZ208" s="0"/>
      <c r="ALA208" s="0"/>
      <c r="ALB208" s="0"/>
      <c r="ALC208" s="0"/>
      <c r="ALD208" s="0"/>
      <c r="ALE208" s="0"/>
      <c r="ALF208" s="0"/>
      <c r="ALG208" s="0"/>
      <c r="ALH208" s="0"/>
      <c r="ALI208" s="0"/>
      <c r="ALJ208" s="0"/>
      <c r="ALK208" s="0"/>
      <c r="ALL208" s="0"/>
      <c r="ALM208" s="0"/>
      <c r="ALN208" s="0"/>
      <c r="ALO208" s="0"/>
      <c r="ALP208" s="0"/>
      <c r="ALQ208" s="0"/>
      <c r="ALR208" s="0"/>
      <c r="ALS208" s="0"/>
      <c r="ALT208" s="0"/>
      <c r="ALU208" s="0"/>
      <c r="ALV208" s="0"/>
      <c r="ALW208" s="0"/>
      <c r="ALX208" s="0"/>
      <c r="ALY208" s="0"/>
      <c r="ALZ208" s="0"/>
      <c r="AMA208" s="0"/>
      <c r="AMB208" s="0"/>
      <c r="AMC208" s="0"/>
      <c r="AMD208" s="0"/>
      <c r="AME208" s="0"/>
      <c r="AMF208" s="0"/>
      <c r="AMG208" s="0"/>
      <c r="AMH208" s="0"/>
      <c r="AMI208" s="0"/>
      <c r="AMJ208" s="0"/>
    </row>
    <row r="209" s="14" customFormat="true" ht="12.8" hidden="false" customHeight="false" outlineLevel="0" collapsed="false">
      <c r="C209" s="26"/>
      <c r="E209" s="26"/>
      <c r="H209" s="2"/>
      <c r="I209" s="26"/>
      <c r="J209" s="26"/>
      <c r="K209" s="26"/>
      <c r="O209" s="26"/>
      <c r="P209" s="26"/>
      <c r="Q209" s="26"/>
      <c r="R209" s="26"/>
      <c r="S209" s="26"/>
      <c r="T209" s="26"/>
      <c r="U209" s="26"/>
      <c r="W209" s="27"/>
      <c r="AE209" s="26"/>
      <c r="AF209" s="26"/>
      <c r="AG209" s="26"/>
      <c r="AH209" s="26"/>
      <c r="AI209" s="26"/>
      <c r="AJ209" s="26"/>
      <c r="AKX209" s="0"/>
      <c r="AKY209" s="0"/>
      <c r="AKZ209" s="0"/>
      <c r="ALA209" s="0"/>
      <c r="ALB209" s="0"/>
      <c r="ALC209" s="0"/>
      <c r="ALD209" s="0"/>
      <c r="ALE209" s="0"/>
      <c r="ALF209" s="0"/>
      <c r="ALG209" s="0"/>
      <c r="ALH209" s="0"/>
      <c r="ALI209" s="0"/>
      <c r="ALJ209" s="0"/>
      <c r="ALK209" s="0"/>
      <c r="ALL209" s="0"/>
      <c r="ALM209" s="0"/>
      <c r="ALN209" s="0"/>
      <c r="ALO209" s="0"/>
      <c r="ALP209" s="0"/>
      <c r="ALQ209" s="0"/>
      <c r="ALR209" s="0"/>
      <c r="ALS209" s="0"/>
      <c r="ALT209" s="0"/>
      <c r="ALU209" s="0"/>
      <c r="ALV209" s="0"/>
      <c r="ALW209" s="0"/>
      <c r="ALX209" s="0"/>
      <c r="ALY209" s="0"/>
      <c r="ALZ209" s="0"/>
      <c r="AMA209" s="0"/>
      <c r="AMB209" s="0"/>
      <c r="AMC209" s="0"/>
      <c r="AMD209" s="0"/>
      <c r="AME209" s="0"/>
      <c r="AMF209" s="0"/>
      <c r="AMG209" s="0"/>
      <c r="AMH209" s="0"/>
      <c r="AMI209" s="0"/>
      <c r="AMJ209" s="0"/>
    </row>
    <row r="210" s="14" customFormat="true" ht="12.8" hidden="false" customHeight="false" outlineLevel="0" collapsed="false">
      <c r="C210" s="26"/>
      <c r="E210" s="26"/>
      <c r="H210" s="2"/>
      <c r="I210" s="26"/>
      <c r="J210" s="26"/>
      <c r="K210" s="26"/>
      <c r="O210" s="26"/>
      <c r="P210" s="26"/>
      <c r="Q210" s="26"/>
      <c r="R210" s="26"/>
      <c r="S210" s="26"/>
      <c r="T210" s="26"/>
      <c r="U210" s="26"/>
      <c r="W210" s="27"/>
      <c r="AE210" s="26"/>
      <c r="AF210" s="26"/>
      <c r="AG210" s="26"/>
      <c r="AH210" s="26"/>
      <c r="AI210" s="26"/>
      <c r="AJ210" s="26"/>
      <c r="AKX210" s="0"/>
      <c r="AKY210" s="0"/>
      <c r="AKZ210" s="0"/>
      <c r="ALA210" s="0"/>
      <c r="ALB210" s="0"/>
      <c r="ALC210" s="0"/>
      <c r="ALD210" s="0"/>
      <c r="ALE210" s="0"/>
      <c r="ALF210" s="0"/>
      <c r="ALG210" s="0"/>
      <c r="ALH210" s="0"/>
      <c r="ALI210" s="0"/>
      <c r="ALJ210" s="0"/>
      <c r="ALK210" s="0"/>
      <c r="ALL210" s="0"/>
      <c r="ALM210" s="0"/>
      <c r="ALN210" s="0"/>
      <c r="ALO210" s="0"/>
      <c r="ALP210" s="0"/>
      <c r="ALQ210" s="0"/>
      <c r="ALR210" s="0"/>
      <c r="ALS210" s="0"/>
      <c r="ALT210" s="0"/>
      <c r="ALU210" s="0"/>
      <c r="ALV210" s="0"/>
      <c r="ALW210" s="0"/>
      <c r="ALX210" s="0"/>
      <c r="ALY210" s="0"/>
      <c r="ALZ210" s="0"/>
      <c r="AMA210" s="0"/>
      <c r="AMB210" s="0"/>
      <c r="AMC210" s="0"/>
      <c r="AMD210" s="0"/>
      <c r="AME210" s="0"/>
      <c r="AMF210" s="0"/>
      <c r="AMG210" s="0"/>
      <c r="AMH210" s="0"/>
      <c r="AMI210" s="0"/>
      <c r="AMJ210" s="0"/>
    </row>
    <row r="211" s="14" customFormat="true" ht="12.8" hidden="false" customHeight="false" outlineLevel="0" collapsed="false">
      <c r="C211" s="26"/>
      <c r="E211" s="26"/>
      <c r="H211" s="2"/>
      <c r="I211" s="26"/>
      <c r="J211" s="26"/>
      <c r="K211" s="26"/>
      <c r="O211" s="26"/>
      <c r="P211" s="26"/>
      <c r="Q211" s="26"/>
      <c r="R211" s="26"/>
      <c r="S211" s="26"/>
      <c r="T211" s="26"/>
      <c r="U211" s="26"/>
      <c r="W211" s="27"/>
      <c r="AE211" s="26"/>
      <c r="AF211" s="26"/>
      <c r="AG211" s="26"/>
      <c r="AH211" s="26"/>
      <c r="AI211" s="26"/>
      <c r="AJ211" s="26"/>
      <c r="AKX211" s="0"/>
      <c r="AKY211" s="0"/>
      <c r="AKZ211" s="0"/>
      <c r="ALA211" s="0"/>
      <c r="ALB211" s="0"/>
      <c r="ALC211" s="0"/>
      <c r="ALD211" s="0"/>
      <c r="ALE211" s="0"/>
      <c r="ALF211" s="0"/>
      <c r="ALG211" s="0"/>
      <c r="ALH211" s="0"/>
      <c r="ALI211" s="0"/>
      <c r="ALJ211" s="0"/>
      <c r="ALK211" s="0"/>
      <c r="ALL211" s="0"/>
      <c r="ALM211" s="0"/>
      <c r="ALN211" s="0"/>
      <c r="ALO211" s="0"/>
      <c r="ALP211" s="0"/>
      <c r="ALQ211" s="0"/>
      <c r="ALR211" s="0"/>
      <c r="ALS211" s="0"/>
      <c r="ALT211" s="0"/>
      <c r="ALU211" s="0"/>
      <c r="ALV211" s="0"/>
      <c r="ALW211" s="0"/>
      <c r="ALX211" s="0"/>
      <c r="ALY211" s="0"/>
      <c r="ALZ211" s="0"/>
      <c r="AMA211" s="0"/>
      <c r="AMB211" s="0"/>
      <c r="AMC211" s="0"/>
      <c r="AMD211" s="0"/>
      <c r="AME211" s="0"/>
      <c r="AMF211" s="0"/>
      <c r="AMG211" s="0"/>
      <c r="AMH211" s="0"/>
      <c r="AMI211" s="0"/>
      <c r="AMJ211" s="0"/>
    </row>
    <row r="212" s="14" customFormat="true" ht="12.8" hidden="false" customHeight="false" outlineLevel="0" collapsed="false">
      <c r="C212" s="26"/>
      <c r="E212" s="26"/>
      <c r="H212" s="2"/>
      <c r="I212" s="26"/>
      <c r="J212" s="26"/>
      <c r="K212" s="26"/>
      <c r="O212" s="26"/>
      <c r="P212" s="26"/>
      <c r="Q212" s="26"/>
      <c r="R212" s="26"/>
      <c r="S212" s="26"/>
      <c r="T212" s="26"/>
      <c r="U212" s="26"/>
      <c r="W212" s="27"/>
      <c r="AE212" s="26"/>
      <c r="AF212" s="26"/>
      <c r="AG212" s="26"/>
      <c r="AH212" s="26"/>
      <c r="AI212" s="26"/>
      <c r="AJ212" s="26"/>
      <c r="AKX212" s="0"/>
      <c r="AKY212" s="0"/>
      <c r="AKZ212" s="0"/>
      <c r="ALA212" s="0"/>
      <c r="ALB212" s="0"/>
      <c r="ALC212" s="0"/>
      <c r="ALD212" s="0"/>
      <c r="ALE212" s="0"/>
      <c r="ALF212" s="0"/>
      <c r="ALG212" s="0"/>
      <c r="ALH212" s="0"/>
      <c r="ALI212" s="0"/>
      <c r="ALJ212" s="0"/>
      <c r="ALK212" s="0"/>
      <c r="ALL212" s="0"/>
      <c r="ALM212" s="0"/>
      <c r="ALN212" s="0"/>
      <c r="ALO212" s="0"/>
      <c r="ALP212" s="0"/>
      <c r="ALQ212" s="0"/>
      <c r="ALR212" s="0"/>
      <c r="ALS212" s="0"/>
      <c r="ALT212" s="0"/>
      <c r="ALU212" s="0"/>
      <c r="ALV212" s="0"/>
      <c r="ALW212" s="0"/>
      <c r="ALX212" s="0"/>
      <c r="ALY212" s="0"/>
      <c r="ALZ212" s="0"/>
      <c r="AMA212" s="0"/>
      <c r="AMB212" s="0"/>
      <c r="AMC212" s="0"/>
      <c r="AMD212" s="0"/>
      <c r="AME212" s="0"/>
      <c r="AMF212" s="0"/>
      <c r="AMG212" s="0"/>
      <c r="AMH212" s="0"/>
      <c r="AMI212" s="0"/>
      <c r="AMJ212" s="0"/>
    </row>
    <row r="213" s="14" customFormat="true" ht="12.8" hidden="false" customHeight="false" outlineLevel="0" collapsed="false">
      <c r="C213" s="26"/>
      <c r="E213" s="26"/>
      <c r="H213" s="2"/>
      <c r="I213" s="26"/>
      <c r="J213" s="26"/>
      <c r="K213" s="26"/>
      <c r="O213" s="26"/>
      <c r="P213" s="26"/>
      <c r="Q213" s="26"/>
      <c r="R213" s="26"/>
      <c r="S213" s="26"/>
      <c r="T213" s="26"/>
      <c r="U213" s="26"/>
      <c r="W213" s="27"/>
      <c r="AE213" s="26"/>
      <c r="AF213" s="26"/>
      <c r="AG213" s="26"/>
      <c r="AH213" s="26"/>
      <c r="AI213" s="26"/>
      <c r="AJ213" s="26"/>
      <c r="AKX213" s="0"/>
      <c r="AKY213" s="0"/>
      <c r="AKZ213" s="0"/>
      <c r="ALA213" s="0"/>
      <c r="ALB213" s="0"/>
      <c r="ALC213" s="0"/>
      <c r="ALD213" s="0"/>
      <c r="ALE213" s="0"/>
      <c r="ALF213" s="0"/>
      <c r="ALG213" s="0"/>
      <c r="ALH213" s="0"/>
      <c r="ALI213" s="0"/>
      <c r="ALJ213" s="0"/>
      <c r="ALK213" s="0"/>
      <c r="ALL213" s="0"/>
      <c r="ALM213" s="0"/>
      <c r="ALN213" s="0"/>
      <c r="ALO213" s="0"/>
      <c r="ALP213" s="0"/>
      <c r="ALQ213" s="0"/>
      <c r="ALR213" s="0"/>
      <c r="ALS213" s="0"/>
      <c r="ALT213" s="0"/>
      <c r="ALU213" s="0"/>
      <c r="ALV213" s="0"/>
      <c r="ALW213" s="0"/>
      <c r="ALX213" s="0"/>
      <c r="ALY213" s="0"/>
      <c r="ALZ213" s="0"/>
      <c r="AMA213" s="0"/>
      <c r="AMB213" s="0"/>
      <c r="AMC213" s="0"/>
      <c r="AMD213" s="0"/>
      <c r="AME213" s="0"/>
      <c r="AMF213" s="0"/>
      <c r="AMG213" s="0"/>
      <c r="AMH213" s="0"/>
      <c r="AMI213" s="0"/>
      <c r="AMJ213" s="0"/>
    </row>
    <row r="214" s="14" customFormat="true" ht="12.8" hidden="false" customHeight="false" outlineLevel="0" collapsed="false">
      <c r="C214" s="26"/>
      <c r="E214" s="26"/>
      <c r="H214" s="2"/>
      <c r="I214" s="26"/>
      <c r="J214" s="26"/>
      <c r="K214" s="26"/>
      <c r="O214" s="26"/>
      <c r="P214" s="26"/>
      <c r="Q214" s="26"/>
      <c r="R214" s="26"/>
      <c r="S214" s="26"/>
      <c r="T214" s="26"/>
      <c r="U214" s="26"/>
      <c r="W214" s="27"/>
      <c r="AE214" s="26"/>
      <c r="AF214" s="26"/>
      <c r="AG214" s="26"/>
      <c r="AH214" s="26"/>
      <c r="AI214" s="26"/>
      <c r="AJ214" s="26"/>
      <c r="AKX214" s="0"/>
      <c r="AKY214" s="0"/>
      <c r="AKZ214" s="0"/>
      <c r="ALA214" s="0"/>
      <c r="ALB214" s="0"/>
      <c r="ALC214" s="0"/>
      <c r="ALD214" s="0"/>
      <c r="ALE214" s="0"/>
      <c r="ALF214" s="0"/>
      <c r="ALG214" s="0"/>
      <c r="ALH214" s="0"/>
      <c r="ALI214" s="0"/>
      <c r="ALJ214" s="0"/>
      <c r="ALK214" s="0"/>
      <c r="ALL214" s="0"/>
      <c r="ALM214" s="0"/>
      <c r="ALN214" s="0"/>
      <c r="ALO214" s="0"/>
      <c r="ALP214" s="0"/>
      <c r="ALQ214" s="0"/>
      <c r="ALR214" s="0"/>
      <c r="ALS214" s="0"/>
      <c r="ALT214" s="0"/>
      <c r="ALU214" s="0"/>
      <c r="ALV214" s="0"/>
      <c r="ALW214" s="0"/>
      <c r="ALX214" s="0"/>
      <c r="ALY214" s="0"/>
      <c r="ALZ214" s="0"/>
      <c r="AMA214" s="0"/>
      <c r="AMB214" s="0"/>
      <c r="AMC214" s="0"/>
      <c r="AMD214" s="0"/>
      <c r="AME214" s="0"/>
      <c r="AMF214" s="0"/>
      <c r="AMG214" s="0"/>
      <c r="AMH214" s="0"/>
      <c r="AMI214" s="0"/>
      <c r="AMJ214" s="0"/>
    </row>
    <row r="215" s="14" customFormat="true" ht="12.8" hidden="false" customHeight="false" outlineLevel="0" collapsed="false">
      <c r="C215" s="26"/>
      <c r="E215" s="26"/>
      <c r="H215" s="2"/>
      <c r="I215" s="26"/>
      <c r="J215" s="26"/>
      <c r="K215" s="26"/>
      <c r="O215" s="26"/>
      <c r="P215" s="26"/>
      <c r="Q215" s="26"/>
      <c r="R215" s="26"/>
      <c r="S215" s="26"/>
      <c r="T215" s="26"/>
      <c r="U215" s="26"/>
      <c r="W215" s="27"/>
      <c r="AE215" s="26"/>
      <c r="AF215" s="26"/>
      <c r="AG215" s="26"/>
      <c r="AH215" s="26"/>
      <c r="AI215" s="26"/>
      <c r="AJ215" s="26"/>
      <c r="AKX215" s="0"/>
      <c r="AKY215" s="0"/>
      <c r="AKZ215" s="0"/>
      <c r="ALA215" s="0"/>
      <c r="ALB215" s="0"/>
      <c r="ALC215" s="0"/>
      <c r="ALD215" s="0"/>
      <c r="ALE215" s="0"/>
      <c r="ALF215" s="0"/>
      <c r="ALG215" s="0"/>
      <c r="ALH215" s="0"/>
      <c r="ALI215" s="0"/>
      <c r="ALJ215" s="0"/>
      <c r="ALK215" s="0"/>
      <c r="ALL215" s="0"/>
      <c r="ALM215" s="0"/>
      <c r="ALN215" s="0"/>
      <c r="ALO215" s="0"/>
      <c r="ALP215" s="0"/>
      <c r="ALQ215" s="0"/>
      <c r="ALR215" s="0"/>
      <c r="ALS215" s="0"/>
      <c r="ALT215" s="0"/>
      <c r="ALU215" s="0"/>
      <c r="ALV215" s="0"/>
      <c r="ALW215" s="0"/>
      <c r="ALX215" s="0"/>
      <c r="ALY215" s="0"/>
      <c r="ALZ215" s="0"/>
      <c r="AMA215" s="0"/>
      <c r="AMB215" s="0"/>
      <c r="AMC215" s="0"/>
      <c r="AMD215" s="0"/>
      <c r="AME215" s="0"/>
      <c r="AMF215" s="0"/>
      <c r="AMG215" s="0"/>
      <c r="AMH215" s="0"/>
      <c r="AMI215" s="0"/>
      <c r="AMJ215" s="0"/>
    </row>
    <row r="216" s="14" customFormat="true" ht="12.8" hidden="false" customHeight="false" outlineLevel="0" collapsed="false">
      <c r="C216" s="26"/>
      <c r="E216" s="26"/>
      <c r="H216" s="2"/>
      <c r="I216" s="26"/>
      <c r="J216" s="26"/>
      <c r="K216" s="26"/>
      <c r="O216" s="26"/>
      <c r="P216" s="26"/>
      <c r="Q216" s="26"/>
      <c r="R216" s="26"/>
      <c r="S216" s="26"/>
      <c r="T216" s="26"/>
      <c r="U216" s="26"/>
      <c r="W216" s="27"/>
      <c r="AE216" s="26"/>
      <c r="AF216" s="26"/>
      <c r="AG216" s="26"/>
      <c r="AH216" s="26"/>
      <c r="AI216" s="26"/>
      <c r="AJ216" s="26"/>
      <c r="AKX216" s="0"/>
      <c r="AKY216" s="0"/>
      <c r="AKZ216" s="0"/>
      <c r="ALA216" s="0"/>
      <c r="ALB216" s="0"/>
      <c r="ALC216" s="0"/>
      <c r="ALD216" s="0"/>
      <c r="ALE216" s="0"/>
      <c r="ALF216" s="0"/>
      <c r="ALG216" s="0"/>
      <c r="ALH216" s="0"/>
      <c r="ALI216" s="0"/>
      <c r="ALJ216" s="0"/>
      <c r="ALK216" s="0"/>
      <c r="ALL216" s="0"/>
      <c r="ALM216" s="0"/>
      <c r="ALN216" s="0"/>
      <c r="ALO216" s="0"/>
      <c r="ALP216" s="0"/>
      <c r="ALQ216" s="0"/>
      <c r="ALR216" s="0"/>
      <c r="ALS216" s="0"/>
      <c r="ALT216" s="0"/>
      <c r="ALU216" s="0"/>
      <c r="ALV216" s="0"/>
      <c r="ALW216" s="0"/>
      <c r="ALX216" s="0"/>
      <c r="ALY216" s="0"/>
      <c r="ALZ216" s="0"/>
      <c r="AMA216" s="0"/>
      <c r="AMB216" s="0"/>
      <c r="AMC216" s="0"/>
      <c r="AMD216" s="0"/>
      <c r="AME216" s="0"/>
      <c r="AMF216" s="0"/>
      <c r="AMG216" s="0"/>
      <c r="AMH216" s="0"/>
      <c r="AMI216" s="0"/>
      <c r="AMJ216" s="0"/>
    </row>
    <row r="217" s="14" customFormat="true" ht="12.8" hidden="false" customHeight="false" outlineLevel="0" collapsed="false">
      <c r="C217" s="26"/>
      <c r="E217" s="26"/>
      <c r="H217" s="2"/>
      <c r="I217" s="26"/>
      <c r="J217" s="26"/>
      <c r="K217" s="26"/>
      <c r="O217" s="26"/>
      <c r="P217" s="26"/>
      <c r="Q217" s="26"/>
      <c r="R217" s="26"/>
      <c r="S217" s="26"/>
      <c r="T217" s="26"/>
      <c r="U217" s="26"/>
      <c r="W217" s="27"/>
      <c r="AE217" s="26"/>
      <c r="AF217" s="26"/>
      <c r="AG217" s="26"/>
      <c r="AH217" s="26"/>
      <c r="AI217" s="26"/>
      <c r="AJ217" s="26"/>
      <c r="AKX217" s="0"/>
      <c r="AKY217" s="0"/>
      <c r="AKZ217" s="0"/>
      <c r="ALA217" s="0"/>
      <c r="ALB217" s="0"/>
      <c r="ALC217" s="0"/>
      <c r="ALD217" s="0"/>
      <c r="ALE217" s="0"/>
      <c r="ALF217" s="0"/>
      <c r="ALG217" s="0"/>
      <c r="ALH217" s="0"/>
      <c r="ALI217" s="0"/>
      <c r="ALJ217" s="0"/>
      <c r="ALK217" s="0"/>
      <c r="ALL217" s="0"/>
      <c r="ALM217" s="0"/>
      <c r="ALN217" s="0"/>
      <c r="ALO217" s="0"/>
      <c r="ALP217" s="0"/>
      <c r="ALQ217" s="0"/>
      <c r="ALR217" s="0"/>
      <c r="ALS217" s="0"/>
      <c r="ALT217" s="0"/>
      <c r="ALU217" s="0"/>
      <c r="ALV217" s="0"/>
      <c r="ALW217" s="0"/>
      <c r="ALX217" s="0"/>
      <c r="ALY217" s="0"/>
      <c r="ALZ217" s="0"/>
      <c r="AMA217" s="0"/>
      <c r="AMB217" s="0"/>
      <c r="AMC217" s="0"/>
      <c r="AMD217" s="0"/>
      <c r="AME217" s="0"/>
      <c r="AMF217" s="0"/>
      <c r="AMG217" s="0"/>
      <c r="AMH217" s="0"/>
      <c r="AMI217" s="0"/>
      <c r="AMJ217" s="0"/>
    </row>
    <row r="218" s="14" customFormat="true" ht="12.8" hidden="false" customHeight="false" outlineLevel="0" collapsed="false">
      <c r="C218" s="26"/>
      <c r="E218" s="26"/>
      <c r="H218" s="2"/>
      <c r="I218" s="26"/>
      <c r="J218" s="26"/>
      <c r="K218" s="26"/>
      <c r="O218" s="26"/>
      <c r="P218" s="26"/>
      <c r="Q218" s="26"/>
      <c r="R218" s="26"/>
      <c r="S218" s="26"/>
      <c r="T218" s="26"/>
      <c r="U218" s="26"/>
      <c r="W218" s="27"/>
      <c r="AE218" s="26"/>
      <c r="AF218" s="26"/>
      <c r="AG218" s="26"/>
      <c r="AH218" s="26"/>
      <c r="AI218" s="26"/>
      <c r="AJ218" s="26"/>
      <c r="AKX218" s="0"/>
      <c r="AKY218" s="0"/>
      <c r="AKZ218" s="0"/>
      <c r="ALA218" s="0"/>
      <c r="ALB218" s="0"/>
      <c r="ALC218" s="0"/>
      <c r="ALD218" s="0"/>
      <c r="ALE218" s="0"/>
      <c r="ALF218" s="0"/>
      <c r="ALG218" s="0"/>
      <c r="ALH218" s="0"/>
      <c r="ALI218" s="0"/>
      <c r="ALJ218" s="0"/>
      <c r="ALK218" s="0"/>
      <c r="ALL218" s="0"/>
      <c r="ALM218" s="0"/>
      <c r="ALN218" s="0"/>
      <c r="ALO218" s="0"/>
      <c r="ALP218" s="0"/>
      <c r="ALQ218" s="0"/>
      <c r="ALR218" s="0"/>
      <c r="ALS218" s="0"/>
      <c r="ALT218" s="0"/>
      <c r="ALU218" s="0"/>
      <c r="ALV218" s="0"/>
      <c r="ALW218" s="0"/>
      <c r="ALX218" s="0"/>
      <c r="ALY218" s="0"/>
      <c r="ALZ218" s="0"/>
      <c r="AMA218" s="0"/>
      <c r="AMB218" s="0"/>
      <c r="AMC218" s="0"/>
      <c r="AMD218" s="0"/>
      <c r="AME218" s="0"/>
      <c r="AMF218" s="0"/>
      <c r="AMG218" s="0"/>
      <c r="AMH218" s="0"/>
      <c r="AMI218" s="0"/>
      <c r="AMJ218" s="0"/>
    </row>
    <row r="219" s="14" customFormat="true" ht="12.8" hidden="false" customHeight="false" outlineLevel="0" collapsed="false">
      <c r="C219" s="26"/>
      <c r="E219" s="26"/>
      <c r="H219" s="2"/>
      <c r="I219" s="26"/>
      <c r="J219" s="26"/>
      <c r="K219" s="26"/>
      <c r="O219" s="26"/>
      <c r="P219" s="26"/>
      <c r="Q219" s="26"/>
      <c r="R219" s="26"/>
      <c r="S219" s="26"/>
      <c r="T219" s="26"/>
      <c r="U219" s="26"/>
      <c r="W219" s="27"/>
      <c r="AE219" s="26"/>
      <c r="AF219" s="26"/>
      <c r="AG219" s="26"/>
      <c r="AH219" s="26"/>
      <c r="AI219" s="26"/>
      <c r="AJ219" s="26"/>
      <c r="AKX219" s="0"/>
      <c r="AKY219" s="0"/>
      <c r="AKZ219" s="0"/>
      <c r="ALA219" s="0"/>
      <c r="ALB219" s="0"/>
      <c r="ALC219" s="0"/>
      <c r="ALD219" s="0"/>
      <c r="ALE219" s="0"/>
      <c r="ALF219" s="0"/>
      <c r="ALG219" s="0"/>
      <c r="ALH219" s="0"/>
      <c r="ALI219" s="0"/>
      <c r="ALJ219" s="0"/>
      <c r="ALK219" s="0"/>
      <c r="ALL219" s="0"/>
      <c r="ALM219" s="0"/>
      <c r="ALN219" s="0"/>
      <c r="ALO219" s="0"/>
      <c r="ALP219" s="0"/>
      <c r="ALQ219" s="0"/>
      <c r="ALR219" s="0"/>
      <c r="ALS219" s="0"/>
      <c r="ALT219" s="0"/>
      <c r="ALU219" s="0"/>
      <c r="ALV219" s="0"/>
      <c r="ALW219" s="0"/>
      <c r="ALX219" s="0"/>
      <c r="ALY219" s="0"/>
      <c r="ALZ219" s="0"/>
      <c r="AMA219" s="0"/>
      <c r="AMB219" s="0"/>
      <c r="AMC219" s="0"/>
      <c r="AMD219" s="0"/>
      <c r="AME219" s="0"/>
      <c r="AMF219" s="0"/>
      <c r="AMG219" s="0"/>
      <c r="AMH219" s="0"/>
      <c r="AMI219" s="0"/>
      <c r="AMJ219" s="0"/>
    </row>
    <row r="220" s="14" customFormat="true" ht="12.8" hidden="false" customHeight="false" outlineLevel="0" collapsed="false">
      <c r="C220" s="26"/>
      <c r="E220" s="26"/>
      <c r="H220" s="2"/>
      <c r="I220" s="26"/>
      <c r="J220" s="26"/>
      <c r="K220" s="26"/>
      <c r="O220" s="26"/>
      <c r="P220" s="26"/>
      <c r="Q220" s="26"/>
      <c r="R220" s="26"/>
      <c r="S220" s="26"/>
      <c r="T220" s="26"/>
      <c r="U220" s="26"/>
      <c r="W220" s="27"/>
      <c r="AE220" s="26"/>
      <c r="AF220" s="26"/>
      <c r="AG220" s="26"/>
      <c r="AH220" s="26"/>
      <c r="AI220" s="26"/>
      <c r="AJ220" s="26"/>
      <c r="AKX220" s="0"/>
      <c r="AKY220" s="0"/>
      <c r="AKZ220" s="0"/>
      <c r="ALA220" s="0"/>
      <c r="ALB220" s="0"/>
      <c r="ALC220" s="0"/>
      <c r="ALD220" s="0"/>
      <c r="ALE220" s="0"/>
      <c r="ALF220" s="0"/>
      <c r="ALG220" s="0"/>
      <c r="ALH220" s="0"/>
      <c r="ALI220" s="0"/>
      <c r="ALJ220" s="0"/>
      <c r="ALK220" s="0"/>
      <c r="ALL220" s="0"/>
      <c r="ALM220" s="0"/>
      <c r="ALN220" s="0"/>
      <c r="ALO220" s="0"/>
      <c r="ALP220" s="0"/>
      <c r="ALQ220" s="0"/>
      <c r="ALR220" s="0"/>
      <c r="ALS220" s="0"/>
      <c r="ALT220" s="0"/>
      <c r="ALU220" s="0"/>
      <c r="ALV220" s="0"/>
      <c r="ALW220" s="0"/>
      <c r="ALX220" s="0"/>
      <c r="ALY220" s="0"/>
      <c r="ALZ220" s="0"/>
      <c r="AMA220" s="0"/>
      <c r="AMB220" s="0"/>
      <c r="AMC220" s="0"/>
      <c r="AMD220" s="0"/>
      <c r="AME220" s="0"/>
      <c r="AMF220" s="0"/>
      <c r="AMG220" s="0"/>
      <c r="AMH220" s="0"/>
      <c r="AMI220" s="0"/>
      <c r="AMJ220" s="0"/>
    </row>
    <row r="221" s="14" customFormat="true" ht="12.8" hidden="false" customHeight="false" outlineLevel="0" collapsed="false">
      <c r="C221" s="26"/>
      <c r="E221" s="26"/>
      <c r="H221" s="2"/>
      <c r="I221" s="26"/>
      <c r="J221" s="26"/>
      <c r="K221" s="26"/>
      <c r="O221" s="26"/>
      <c r="P221" s="26"/>
      <c r="Q221" s="26"/>
      <c r="R221" s="26"/>
      <c r="S221" s="26"/>
      <c r="T221" s="26"/>
      <c r="U221" s="26"/>
      <c r="W221" s="27"/>
      <c r="AE221" s="26"/>
      <c r="AF221" s="26"/>
      <c r="AG221" s="26"/>
      <c r="AH221" s="26"/>
      <c r="AI221" s="26"/>
      <c r="AJ221" s="26"/>
      <c r="AKX221" s="0"/>
      <c r="AKY221" s="0"/>
      <c r="AKZ221" s="0"/>
      <c r="ALA221" s="0"/>
      <c r="ALB221" s="0"/>
      <c r="ALC221" s="0"/>
      <c r="ALD221" s="0"/>
      <c r="ALE221" s="0"/>
      <c r="ALF221" s="0"/>
      <c r="ALG221" s="0"/>
      <c r="ALH221" s="0"/>
      <c r="ALI221" s="0"/>
      <c r="ALJ221" s="0"/>
      <c r="ALK221" s="0"/>
      <c r="ALL221" s="0"/>
      <c r="ALM221" s="0"/>
      <c r="ALN221" s="0"/>
      <c r="ALO221" s="0"/>
      <c r="ALP221" s="0"/>
      <c r="ALQ221" s="0"/>
      <c r="ALR221" s="0"/>
      <c r="ALS221" s="0"/>
      <c r="ALT221" s="0"/>
      <c r="ALU221" s="0"/>
      <c r="ALV221" s="0"/>
      <c r="ALW221" s="0"/>
      <c r="ALX221" s="0"/>
      <c r="ALY221" s="0"/>
      <c r="ALZ221" s="0"/>
      <c r="AMA221" s="0"/>
      <c r="AMB221" s="0"/>
      <c r="AMC221" s="0"/>
      <c r="AMD221" s="0"/>
      <c r="AME221" s="0"/>
      <c r="AMF221" s="0"/>
      <c r="AMG221" s="0"/>
      <c r="AMH221" s="0"/>
      <c r="AMI221" s="0"/>
      <c r="AMJ221" s="0"/>
    </row>
    <row r="222" s="14" customFormat="true" ht="12.8" hidden="false" customHeight="false" outlineLevel="0" collapsed="false">
      <c r="C222" s="26"/>
      <c r="E222" s="26"/>
      <c r="H222" s="2"/>
      <c r="I222" s="26"/>
      <c r="J222" s="26"/>
      <c r="K222" s="26"/>
      <c r="O222" s="26"/>
      <c r="P222" s="26"/>
      <c r="Q222" s="26"/>
      <c r="R222" s="26"/>
      <c r="S222" s="26"/>
      <c r="T222" s="26"/>
      <c r="U222" s="26"/>
      <c r="W222" s="27"/>
      <c r="AE222" s="26"/>
      <c r="AF222" s="26"/>
      <c r="AG222" s="26"/>
      <c r="AH222" s="26"/>
      <c r="AI222" s="26"/>
      <c r="AJ222" s="26"/>
      <c r="AKX222" s="0"/>
      <c r="AKY222" s="0"/>
      <c r="AKZ222" s="0"/>
      <c r="ALA222" s="0"/>
      <c r="ALB222" s="0"/>
      <c r="ALC222" s="0"/>
      <c r="ALD222" s="0"/>
      <c r="ALE222" s="0"/>
      <c r="ALF222" s="0"/>
      <c r="ALG222" s="0"/>
      <c r="ALH222" s="0"/>
      <c r="ALI222" s="0"/>
      <c r="ALJ222" s="0"/>
      <c r="ALK222" s="0"/>
      <c r="ALL222" s="0"/>
      <c r="ALM222" s="0"/>
      <c r="ALN222" s="0"/>
      <c r="ALO222" s="0"/>
      <c r="ALP222" s="0"/>
      <c r="ALQ222" s="0"/>
      <c r="ALR222" s="0"/>
      <c r="ALS222" s="0"/>
      <c r="ALT222" s="0"/>
      <c r="ALU222" s="0"/>
      <c r="ALV222" s="0"/>
      <c r="ALW222" s="0"/>
      <c r="ALX222" s="0"/>
      <c r="ALY222" s="0"/>
      <c r="ALZ222" s="0"/>
      <c r="AMA222" s="0"/>
      <c r="AMB222" s="0"/>
      <c r="AMC222" s="0"/>
      <c r="AMD222" s="0"/>
      <c r="AME222" s="0"/>
      <c r="AMF222" s="0"/>
      <c r="AMG222" s="0"/>
      <c r="AMH222" s="0"/>
      <c r="AMI222" s="0"/>
      <c r="AMJ222" s="0"/>
    </row>
    <row r="223" s="14" customFormat="true" ht="12.8" hidden="false" customHeight="false" outlineLevel="0" collapsed="false">
      <c r="C223" s="26"/>
      <c r="E223" s="26"/>
      <c r="H223" s="2"/>
      <c r="I223" s="26"/>
      <c r="J223" s="26"/>
      <c r="K223" s="26"/>
      <c r="O223" s="26"/>
      <c r="P223" s="26"/>
      <c r="Q223" s="26"/>
      <c r="R223" s="26"/>
      <c r="S223" s="26"/>
      <c r="T223" s="26"/>
      <c r="U223" s="26"/>
      <c r="W223" s="27"/>
      <c r="AE223" s="26"/>
      <c r="AF223" s="26"/>
      <c r="AG223" s="26"/>
      <c r="AH223" s="26"/>
      <c r="AI223" s="26"/>
      <c r="AJ223" s="26"/>
      <c r="AKX223" s="0"/>
      <c r="AKY223" s="0"/>
      <c r="AKZ223" s="0"/>
      <c r="ALA223" s="0"/>
      <c r="ALB223" s="0"/>
      <c r="ALC223" s="0"/>
      <c r="ALD223" s="0"/>
      <c r="ALE223" s="0"/>
      <c r="ALF223" s="0"/>
      <c r="ALG223" s="0"/>
      <c r="ALH223" s="0"/>
      <c r="ALI223" s="0"/>
      <c r="ALJ223" s="0"/>
      <c r="ALK223" s="0"/>
      <c r="ALL223" s="0"/>
      <c r="ALM223" s="0"/>
      <c r="ALN223" s="0"/>
      <c r="ALO223" s="0"/>
      <c r="ALP223" s="0"/>
      <c r="ALQ223" s="0"/>
      <c r="ALR223" s="0"/>
      <c r="ALS223" s="0"/>
      <c r="ALT223" s="0"/>
      <c r="ALU223" s="0"/>
      <c r="ALV223" s="0"/>
      <c r="ALW223" s="0"/>
      <c r="ALX223" s="0"/>
      <c r="ALY223" s="0"/>
      <c r="ALZ223" s="0"/>
      <c r="AMA223" s="0"/>
      <c r="AMB223" s="0"/>
      <c r="AMC223" s="0"/>
      <c r="AMD223" s="0"/>
      <c r="AME223" s="0"/>
      <c r="AMF223" s="0"/>
      <c r="AMG223" s="0"/>
      <c r="AMH223" s="0"/>
      <c r="AMI223" s="0"/>
      <c r="AMJ223" s="0"/>
    </row>
    <row r="224" s="14" customFormat="true" ht="12.8" hidden="false" customHeight="false" outlineLevel="0" collapsed="false">
      <c r="C224" s="26"/>
      <c r="E224" s="26"/>
      <c r="H224" s="2"/>
      <c r="I224" s="26"/>
      <c r="J224" s="26"/>
      <c r="K224" s="26"/>
      <c r="O224" s="26"/>
      <c r="P224" s="26"/>
      <c r="Q224" s="26"/>
      <c r="R224" s="26"/>
      <c r="S224" s="26"/>
      <c r="T224" s="26"/>
      <c r="U224" s="26"/>
      <c r="W224" s="27"/>
      <c r="AE224" s="26"/>
      <c r="AF224" s="26"/>
      <c r="AG224" s="26"/>
      <c r="AH224" s="26"/>
      <c r="AI224" s="26"/>
      <c r="AJ224" s="26"/>
      <c r="AKX224" s="0"/>
      <c r="AKY224" s="0"/>
      <c r="AKZ224" s="0"/>
      <c r="ALA224" s="0"/>
      <c r="ALB224" s="0"/>
      <c r="ALC224" s="0"/>
      <c r="ALD224" s="0"/>
      <c r="ALE224" s="0"/>
      <c r="ALF224" s="0"/>
      <c r="ALG224" s="0"/>
      <c r="ALH224" s="0"/>
      <c r="ALI224" s="0"/>
      <c r="ALJ224" s="0"/>
      <c r="ALK224" s="0"/>
      <c r="ALL224" s="0"/>
      <c r="ALM224" s="0"/>
      <c r="ALN224" s="0"/>
      <c r="ALO224" s="0"/>
      <c r="ALP224" s="0"/>
      <c r="ALQ224" s="0"/>
      <c r="ALR224" s="0"/>
      <c r="ALS224" s="0"/>
      <c r="ALT224" s="0"/>
      <c r="ALU224" s="0"/>
      <c r="ALV224" s="0"/>
      <c r="ALW224" s="0"/>
      <c r="ALX224" s="0"/>
      <c r="ALY224" s="0"/>
      <c r="ALZ224" s="0"/>
      <c r="AMA224" s="0"/>
      <c r="AMB224" s="0"/>
      <c r="AMC224" s="0"/>
      <c r="AMD224" s="0"/>
      <c r="AME224" s="0"/>
      <c r="AMF224" s="0"/>
      <c r="AMG224" s="0"/>
      <c r="AMH224" s="0"/>
      <c r="AMI224" s="0"/>
      <c r="AMJ224" s="0"/>
    </row>
    <row r="225" s="14" customFormat="true" ht="12.8" hidden="false" customHeight="false" outlineLevel="0" collapsed="false">
      <c r="C225" s="26"/>
      <c r="E225" s="26"/>
      <c r="H225" s="2"/>
      <c r="I225" s="26"/>
      <c r="J225" s="26"/>
      <c r="K225" s="26"/>
      <c r="O225" s="26"/>
      <c r="P225" s="26"/>
      <c r="Q225" s="26"/>
      <c r="R225" s="26"/>
      <c r="S225" s="26"/>
      <c r="T225" s="26"/>
      <c r="U225" s="26"/>
      <c r="W225" s="27"/>
      <c r="AE225" s="26"/>
      <c r="AF225" s="26"/>
      <c r="AG225" s="26"/>
      <c r="AH225" s="26"/>
      <c r="AI225" s="26"/>
      <c r="AJ225" s="26"/>
      <c r="AKX225" s="0"/>
      <c r="AKY225" s="0"/>
      <c r="AKZ225" s="0"/>
      <c r="ALA225" s="0"/>
      <c r="ALB225" s="0"/>
      <c r="ALC225" s="0"/>
      <c r="ALD225" s="0"/>
      <c r="ALE225" s="0"/>
      <c r="ALF225" s="0"/>
      <c r="ALG225" s="0"/>
      <c r="ALH225" s="0"/>
      <c r="ALI225" s="0"/>
      <c r="ALJ225" s="0"/>
      <c r="ALK225" s="0"/>
      <c r="ALL225" s="0"/>
      <c r="ALM225" s="0"/>
      <c r="ALN225" s="0"/>
      <c r="ALO225" s="0"/>
      <c r="ALP225" s="0"/>
      <c r="ALQ225" s="0"/>
      <c r="ALR225" s="0"/>
      <c r="ALS225" s="0"/>
      <c r="ALT225" s="0"/>
      <c r="ALU225" s="0"/>
      <c r="ALV225" s="0"/>
      <c r="ALW225" s="0"/>
      <c r="ALX225" s="0"/>
      <c r="ALY225" s="0"/>
      <c r="ALZ225" s="0"/>
      <c r="AMA225" s="0"/>
      <c r="AMB225" s="0"/>
      <c r="AMC225" s="0"/>
      <c r="AMD225" s="0"/>
      <c r="AME225" s="0"/>
      <c r="AMF225" s="0"/>
      <c r="AMG225" s="0"/>
      <c r="AMH225" s="0"/>
      <c r="AMI225" s="0"/>
      <c r="AMJ225" s="0"/>
    </row>
    <row r="226" s="14" customFormat="true" ht="12.8" hidden="false" customHeight="false" outlineLevel="0" collapsed="false">
      <c r="C226" s="26"/>
      <c r="E226" s="26"/>
      <c r="H226" s="2"/>
      <c r="I226" s="26"/>
      <c r="J226" s="26"/>
      <c r="K226" s="26"/>
      <c r="O226" s="26"/>
      <c r="P226" s="26"/>
      <c r="Q226" s="26"/>
      <c r="R226" s="26"/>
      <c r="S226" s="26"/>
      <c r="T226" s="26"/>
      <c r="U226" s="26"/>
      <c r="W226" s="27"/>
      <c r="AE226" s="26"/>
      <c r="AF226" s="26"/>
      <c r="AG226" s="26"/>
      <c r="AH226" s="26"/>
      <c r="AI226" s="26"/>
      <c r="AJ226" s="26"/>
      <c r="AKX226" s="0"/>
      <c r="AKY226" s="0"/>
      <c r="AKZ226" s="0"/>
      <c r="ALA226" s="0"/>
      <c r="ALB226" s="0"/>
      <c r="ALC226" s="0"/>
      <c r="ALD226" s="0"/>
      <c r="ALE226" s="0"/>
      <c r="ALF226" s="0"/>
      <c r="ALG226" s="0"/>
      <c r="ALH226" s="0"/>
      <c r="ALI226" s="0"/>
      <c r="ALJ226" s="0"/>
      <c r="ALK226" s="0"/>
      <c r="ALL226" s="0"/>
      <c r="ALM226" s="0"/>
      <c r="ALN226" s="0"/>
      <c r="ALO226" s="0"/>
      <c r="ALP226" s="0"/>
      <c r="ALQ226" s="0"/>
      <c r="ALR226" s="0"/>
      <c r="ALS226" s="0"/>
      <c r="ALT226" s="0"/>
      <c r="ALU226" s="0"/>
      <c r="ALV226" s="0"/>
      <c r="ALW226" s="0"/>
      <c r="ALX226" s="0"/>
      <c r="ALY226" s="0"/>
      <c r="ALZ226" s="0"/>
      <c r="AMA226" s="0"/>
      <c r="AMB226" s="0"/>
      <c r="AMC226" s="0"/>
      <c r="AMD226" s="0"/>
      <c r="AME226" s="0"/>
      <c r="AMF226" s="0"/>
      <c r="AMG226" s="0"/>
      <c r="AMH226" s="0"/>
      <c r="AMI226" s="0"/>
      <c r="AMJ226" s="0"/>
    </row>
    <row r="227" s="14" customFormat="true" ht="12.8" hidden="false" customHeight="false" outlineLevel="0" collapsed="false">
      <c r="C227" s="26"/>
      <c r="E227" s="26"/>
      <c r="H227" s="2"/>
      <c r="I227" s="26"/>
      <c r="J227" s="26"/>
      <c r="K227" s="26"/>
      <c r="O227" s="26"/>
      <c r="P227" s="26"/>
      <c r="Q227" s="26"/>
      <c r="R227" s="26"/>
      <c r="S227" s="26"/>
      <c r="T227" s="26"/>
      <c r="U227" s="26"/>
      <c r="W227" s="27"/>
      <c r="AE227" s="26"/>
      <c r="AF227" s="26"/>
      <c r="AG227" s="26"/>
      <c r="AH227" s="26"/>
      <c r="AI227" s="26"/>
      <c r="AJ227" s="26"/>
      <c r="AKX227" s="0"/>
      <c r="AKY227" s="0"/>
      <c r="AKZ227" s="0"/>
      <c r="ALA227" s="0"/>
      <c r="ALB227" s="0"/>
      <c r="ALC227" s="0"/>
      <c r="ALD227" s="0"/>
      <c r="ALE227" s="0"/>
      <c r="ALF227" s="0"/>
      <c r="ALG227" s="0"/>
      <c r="ALH227" s="0"/>
      <c r="ALI227" s="0"/>
      <c r="ALJ227" s="0"/>
      <c r="ALK227" s="0"/>
      <c r="ALL227" s="0"/>
      <c r="ALM227" s="0"/>
      <c r="ALN227" s="0"/>
      <c r="ALO227" s="0"/>
      <c r="ALP227" s="0"/>
      <c r="ALQ227" s="0"/>
      <c r="ALR227" s="0"/>
      <c r="ALS227" s="0"/>
      <c r="ALT227" s="0"/>
      <c r="ALU227" s="0"/>
      <c r="ALV227" s="0"/>
      <c r="ALW227" s="0"/>
      <c r="ALX227" s="0"/>
      <c r="ALY227" s="0"/>
      <c r="ALZ227" s="0"/>
      <c r="AMA227" s="0"/>
      <c r="AMB227" s="0"/>
      <c r="AMC227" s="0"/>
      <c r="AMD227" s="0"/>
      <c r="AME227" s="0"/>
      <c r="AMF227" s="0"/>
      <c r="AMG227" s="0"/>
      <c r="AMH227" s="0"/>
      <c r="AMI227" s="0"/>
      <c r="AMJ227" s="0"/>
    </row>
    <row r="228" s="14" customFormat="true" ht="12.8" hidden="false" customHeight="false" outlineLevel="0" collapsed="false">
      <c r="C228" s="26"/>
      <c r="E228" s="26"/>
      <c r="H228" s="2"/>
      <c r="I228" s="26"/>
      <c r="J228" s="26"/>
      <c r="K228" s="26"/>
      <c r="O228" s="26"/>
      <c r="P228" s="26"/>
      <c r="Q228" s="26"/>
      <c r="R228" s="26"/>
      <c r="S228" s="26"/>
      <c r="T228" s="26"/>
      <c r="U228" s="26"/>
      <c r="W228" s="27"/>
      <c r="AE228" s="26"/>
      <c r="AF228" s="26"/>
      <c r="AG228" s="26"/>
      <c r="AH228" s="26"/>
      <c r="AI228" s="26"/>
      <c r="AJ228" s="26"/>
      <c r="AKX228" s="0"/>
      <c r="AKY228" s="0"/>
      <c r="AKZ228" s="0"/>
      <c r="ALA228" s="0"/>
      <c r="ALB228" s="0"/>
      <c r="ALC228" s="0"/>
      <c r="ALD228" s="0"/>
      <c r="ALE228" s="0"/>
      <c r="ALF228" s="0"/>
      <c r="ALG228" s="0"/>
      <c r="ALH228" s="0"/>
      <c r="ALI228" s="0"/>
      <c r="ALJ228" s="0"/>
      <c r="ALK228" s="0"/>
      <c r="ALL228" s="0"/>
      <c r="ALM228" s="0"/>
      <c r="ALN228" s="0"/>
      <c r="ALO228" s="0"/>
      <c r="ALP228" s="0"/>
      <c r="ALQ228" s="0"/>
      <c r="ALR228" s="0"/>
      <c r="ALS228" s="0"/>
      <c r="ALT228" s="0"/>
      <c r="ALU228" s="0"/>
      <c r="ALV228" s="0"/>
      <c r="ALW228" s="0"/>
      <c r="ALX228" s="0"/>
      <c r="ALY228" s="0"/>
      <c r="ALZ228" s="0"/>
      <c r="AMA228" s="0"/>
      <c r="AMB228" s="0"/>
      <c r="AMC228" s="0"/>
      <c r="AMD228" s="0"/>
      <c r="AME228" s="0"/>
      <c r="AMF228" s="0"/>
      <c r="AMG228" s="0"/>
      <c r="AMH228" s="0"/>
      <c r="AMI228" s="0"/>
      <c r="AMJ228" s="0"/>
    </row>
    <row r="229" s="14" customFormat="true" ht="12.8" hidden="false" customHeight="false" outlineLevel="0" collapsed="false">
      <c r="C229" s="26"/>
      <c r="E229" s="26"/>
      <c r="H229" s="2"/>
      <c r="I229" s="26"/>
      <c r="J229" s="26"/>
      <c r="K229" s="26"/>
      <c r="O229" s="26"/>
      <c r="P229" s="26"/>
      <c r="Q229" s="26"/>
      <c r="R229" s="26"/>
      <c r="S229" s="26"/>
      <c r="T229" s="26"/>
      <c r="U229" s="26"/>
      <c r="W229" s="27"/>
      <c r="AE229" s="26"/>
      <c r="AF229" s="26"/>
      <c r="AG229" s="26"/>
      <c r="AH229" s="26"/>
      <c r="AI229" s="26"/>
      <c r="AJ229" s="26"/>
      <c r="AKX229" s="0"/>
      <c r="AKY229" s="0"/>
      <c r="AKZ229" s="0"/>
      <c r="ALA229" s="0"/>
      <c r="ALB229" s="0"/>
      <c r="ALC229" s="0"/>
      <c r="ALD229" s="0"/>
      <c r="ALE229" s="0"/>
      <c r="ALF229" s="0"/>
      <c r="ALG229" s="0"/>
      <c r="ALH229" s="0"/>
      <c r="ALI229" s="0"/>
      <c r="ALJ229" s="0"/>
      <c r="ALK229" s="0"/>
      <c r="ALL229" s="0"/>
      <c r="ALM229" s="0"/>
      <c r="ALN229" s="0"/>
      <c r="ALO229" s="0"/>
      <c r="ALP229" s="0"/>
      <c r="ALQ229" s="0"/>
      <c r="ALR229" s="0"/>
      <c r="ALS229" s="0"/>
      <c r="ALT229" s="0"/>
      <c r="ALU229" s="0"/>
      <c r="ALV229" s="0"/>
      <c r="ALW229" s="0"/>
      <c r="ALX229" s="0"/>
      <c r="ALY229" s="0"/>
      <c r="ALZ229" s="0"/>
      <c r="AMA229" s="0"/>
      <c r="AMB229" s="0"/>
      <c r="AMC229" s="0"/>
      <c r="AMD229" s="0"/>
      <c r="AME229" s="0"/>
      <c r="AMF229" s="0"/>
      <c r="AMG229" s="0"/>
      <c r="AMH229" s="0"/>
      <c r="AMI229" s="0"/>
      <c r="AMJ229" s="0"/>
    </row>
    <row r="230" s="14" customFormat="true" ht="12.8" hidden="false" customHeight="false" outlineLevel="0" collapsed="false">
      <c r="C230" s="26"/>
      <c r="E230" s="26"/>
      <c r="H230" s="2"/>
      <c r="I230" s="26"/>
      <c r="J230" s="26"/>
      <c r="K230" s="26"/>
      <c r="O230" s="26"/>
      <c r="P230" s="26"/>
      <c r="Q230" s="26"/>
      <c r="R230" s="26"/>
      <c r="S230" s="26"/>
      <c r="T230" s="26"/>
      <c r="U230" s="26"/>
      <c r="W230" s="27"/>
      <c r="AE230" s="26"/>
      <c r="AF230" s="26"/>
      <c r="AG230" s="26"/>
      <c r="AH230" s="26"/>
      <c r="AI230" s="26"/>
      <c r="AJ230" s="26"/>
      <c r="AKX230" s="0"/>
      <c r="AKY230" s="0"/>
      <c r="AKZ230" s="0"/>
      <c r="ALA230" s="0"/>
      <c r="ALB230" s="0"/>
      <c r="ALC230" s="0"/>
      <c r="ALD230" s="0"/>
      <c r="ALE230" s="0"/>
      <c r="ALF230" s="0"/>
      <c r="ALG230" s="0"/>
      <c r="ALH230" s="0"/>
      <c r="ALI230" s="0"/>
      <c r="ALJ230" s="0"/>
      <c r="ALK230" s="0"/>
      <c r="ALL230" s="0"/>
      <c r="ALM230" s="0"/>
      <c r="ALN230" s="0"/>
      <c r="ALO230" s="0"/>
      <c r="ALP230" s="0"/>
      <c r="ALQ230" s="0"/>
      <c r="ALR230" s="0"/>
      <c r="ALS230" s="0"/>
      <c r="ALT230" s="0"/>
      <c r="ALU230" s="0"/>
      <c r="ALV230" s="0"/>
      <c r="ALW230" s="0"/>
      <c r="ALX230" s="0"/>
      <c r="ALY230" s="0"/>
      <c r="ALZ230" s="0"/>
      <c r="AMA230" s="0"/>
      <c r="AMB230" s="0"/>
      <c r="AMC230" s="0"/>
      <c r="AMD230" s="0"/>
      <c r="AME230" s="0"/>
      <c r="AMF230" s="0"/>
      <c r="AMG230" s="0"/>
      <c r="AMH230" s="0"/>
      <c r="AMI230" s="0"/>
      <c r="AMJ230" s="0"/>
    </row>
    <row r="231" s="14" customFormat="true" ht="12.8" hidden="false" customHeight="false" outlineLevel="0" collapsed="false">
      <c r="C231" s="26"/>
      <c r="E231" s="26"/>
      <c r="H231" s="2"/>
      <c r="I231" s="26"/>
      <c r="J231" s="26"/>
      <c r="K231" s="26"/>
      <c r="O231" s="26"/>
      <c r="P231" s="26"/>
      <c r="Q231" s="26"/>
      <c r="R231" s="26"/>
      <c r="S231" s="26"/>
      <c r="T231" s="26"/>
      <c r="U231" s="26"/>
      <c r="W231" s="27"/>
      <c r="AE231" s="26"/>
      <c r="AF231" s="26"/>
      <c r="AG231" s="26"/>
      <c r="AH231" s="26"/>
      <c r="AI231" s="26"/>
      <c r="AJ231" s="26"/>
      <c r="AKX231" s="0"/>
      <c r="AKY231" s="0"/>
      <c r="AKZ231" s="0"/>
      <c r="ALA231" s="0"/>
      <c r="ALB231" s="0"/>
      <c r="ALC231" s="0"/>
      <c r="ALD231" s="0"/>
      <c r="ALE231" s="0"/>
      <c r="ALF231" s="0"/>
      <c r="ALG231" s="0"/>
      <c r="ALH231" s="0"/>
      <c r="ALI231" s="0"/>
      <c r="ALJ231" s="0"/>
      <c r="ALK231" s="0"/>
      <c r="ALL231" s="0"/>
      <c r="ALM231" s="0"/>
      <c r="ALN231" s="0"/>
      <c r="ALO231" s="0"/>
      <c r="ALP231" s="0"/>
      <c r="ALQ231" s="0"/>
      <c r="ALR231" s="0"/>
      <c r="ALS231" s="0"/>
      <c r="ALT231" s="0"/>
      <c r="ALU231" s="0"/>
      <c r="ALV231" s="0"/>
      <c r="ALW231" s="0"/>
      <c r="ALX231" s="0"/>
      <c r="ALY231" s="0"/>
      <c r="ALZ231" s="0"/>
      <c r="AMA231" s="0"/>
      <c r="AMB231" s="0"/>
      <c r="AMC231" s="0"/>
      <c r="AMD231" s="0"/>
      <c r="AME231" s="0"/>
      <c r="AMF231" s="0"/>
      <c r="AMG231" s="0"/>
      <c r="AMH231" s="0"/>
      <c r="AMI231" s="0"/>
      <c r="AMJ231" s="0"/>
    </row>
    <row r="232" s="14" customFormat="true" ht="12.8" hidden="false" customHeight="false" outlineLevel="0" collapsed="false">
      <c r="C232" s="26"/>
      <c r="E232" s="26"/>
      <c r="H232" s="2"/>
      <c r="I232" s="26"/>
      <c r="J232" s="26"/>
      <c r="K232" s="26"/>
      <c r="O232" s="26"/>
      <c r="P232" s="26"/>
      <c r="Q232" s="26"/>
      <c r="R232" s="26"/>
      <c r="S232" s="26"/>
      <c r="T232" s="26"/>
      <c r="U232" s="26"/>
      <c r="W232" s="27"/>
      <c r="AE232" s="26"/>
      <c r="AF232" s="26"/>
      <c r="AG232" s="26"/>
      <c r="AH232" s="26"/>
      <c r="AI232" s="26"/>
      <c r="AJ232" s="26"/>
      <c r="AKX232" s="0"/>
      <c r="AKY232" s="0"/>
      <c r="AKZ232" s="0"/>
      <c r="ALA232" s="0"/>
      <c r="ALB232" s="0"/>
      <c r="ALC232" s="0"/>
      <c r="ALD232" s="0"/>
      <c r="ALE232" s="0"/>
      <c r="ALF232" s="0"/>
      <c r="ALG232" s="0"/>
      <c r="ALH232" s="0"/>
      <c r="ALI232" s="0"/>
      <c r="ALJ232" s="0"/>
      <c r="ALK232" s="0"/>
      <c r="ALL232" s="0"/>
      <c r="ALM232" s="0"/>
      <c r="ALN232" s="0"/>
      <c r="ALO232" s="0"/>
      <c r="ALP232" s="0"/>
      <c r="ALQ232" s="0"/>
      <c r="ALR232" s="0"/>
      <c r="ALS232" s="0"/>
      <c r="ALT232" s="0"/>
      <c r="ALU232" s="0"/>
      <c r="ALV232" s="0"/>
      <c r="ALW232" s="0"/>
      <c r="ALX232" s="0"/>
      <c r="ALY232" s="0"/>
      <c r="ALZ232" s="0"/>
      <c r="AMA232" s="0"/>
      <c r="AMB232" s="0"/>
      <c r="AMC232" s="0"/>
      <c r="AMD232" s="0"/>
      <c r="AME232" s="0"/>
      <c r="AMF232" s="0"/>
      <c r="AMG232" s="0"/>
      <c r="AMH232" s="0"/>
      <c r="AMI232" s="0"/>
      <c r="AMJ232" s="0"/>
    </row>
    <row r="233" s="14" customFormat="true" ht="12.8" hidden="false" customHeight="false" outlineLevel="0" collapsed="false">
      <c r="C233" s="26"/>
      <c r="E233" s="26"/>
      <c r="H233" s="2"/>
      <c r="I233" s="26"/>
      <c r="J233" s="26"/>
      <c r="K233" s="26"/>
      <c r="O233" s="26"/>
      <c r="P233" s="26"/>
      <c r="Q233" s="26"/>
      <c r="R233" s="26"/>
      <c r="S233" s="26"/>
      <c r="T233" s="26"/>
      <c r="U233" s="26"/>
      <c r="W233" s="27"/>
      <c r="AE233" s="26"/>
      <c r="AF233" s="26"/>
      <c r="AG233" s="26"/>
      <c r="AH233" s="26"/>
      <c r="AI233" s="26"/>
      <c r="AJ233" s="26"/>
      <c r="AKX233" s="0"/>
      <c r="AKY233" s="0"/>
      <c r="AKZ233" s="0"/>
      <c r="ALA233" s="0"/>
      <c r="ALB233" s="0"/>
      <c r="ALC233" s="0"/>
      <c r="ALD233" s="0"/>
      <c r="ALE233" s="0"/>
      <c r="ALF233" s="0"/>
      <c r="ALG233" s="0"/>
      <c r="ALH233" s="0"/>
      <c r="ALI233" s="0"/>
      <c r="ALJ233" s="0"/>
      <c r="ALK233" s="0"/>
      <c r="ALL233" s="0"/>
      <c r="ALM233" s="0"/>
      <c r="ALN233" s="0"/>
      <c r="ALO233" s="0"/>
      <c r="ALP233" s="0"/>
      <c r="ALQ233" s="0"/>
      <c r="ALR233" s="0"/>
      <c r="ALS233" s="0"/>
      <c r="ALT233" s="0"/>
      <c r="ALU233" s="0"/>
      <c r="ALV233" s="0"/>
      <c r="ALW233" s="0"/>
      <c r="ALX233" s="0"/>
      <c r="ALY233" s="0"/>
      <c r="ALZ233" s="0"/>
      <c r="AMA233" s="0"/>
      <c r="AMB233" s="0"/>
      <c r="AMC233" s="0"/>
      <c r="AMD233" s="0"/>
      <c r="AME233" s="0"/>
      <c r="AMF233" s="0"/>
      <c r="AMG233" s="0"/>
      <c r="AMH233" s="0"/>
      <c r="AMI233" s="0"/>
      <c r="AMJ233" s="0"/>
    </row>
    <row r="234" s="14" customFormat="true" ht="12.8" hidden="false" customHeight="false" outlineLevel="0" collapsed="false">
      <c r="C234" s="26"/>
      <c r="E234" s="26"/>
      <c r="H234" s="2"/>
      <c r="I234" s="26"/>
      <c r="J234" s="26"/>
      <c r="K234" s="26"/>
      <c r="O234" s="26"/>
      <c r="P234" s="26"/>
      <c r="Q234" s="26"/>
      <c r="R234" s="26"/>
      <c r="S234" s="26"/>
      <c r="T234" s="26"/>
      <c r="U234" s="26"/>
      <c r="W234" s="27"/>
      <c r="AE234" s="26"/>
      <c r="AF234" s="26"/>
      <c r="AG234" s="26"/>
      <c r="AH234" s="26"/>
      <c r="AI234" s="26"/>
      <c r="AJ234" s="26"/>
      <c r="AKX234" s="0"/>
      <c r="AKY234" s="0"/>
      <c r="AKZ234" s="0"/>
      <c r="ALA234" s="0"/>
      <c r="ALB234" s="0"/>
      <c r="ALC234" s="0"/>
      <c r="ALD234" s="0"/>
      <c r="ALE234" s="0"/>
      <c r="ALF234" s="0"/>
      <c r="ALG234" s="0"/>
      <c r="ALH234" s="0"/>
      <c r="ALI234" s="0"/>
      <c r="ALJ234" s="0"/>
      <c r="ALK234" s="0"/>
      <c r="ALL234" s="0"/>
      <c r="ALM234" s="0"/>
      <c r="ALN234" s="0"/>
      <c r="ALO234" s="0"/>
      <c r="ALP234" s="0"/>
      <c r="ALQ234" s="0"/>
      <c r="ALR234" s="0"/>
      <c r="ALS234" s="0"/>
      <c r="ALT234" s="0"/>
      <c r="ALU234" s="0"/>
      <c r="ALV234" s="0"/>
      <c r="ALW234" s="0"/>
      <c r="ALX234" s="0"/>
      <c r="ALY234" s="0"/>
      <c r="ALZ234" s="0"/>
      <c r="AMA234" s="0"/>
      <c r="AMB234" s="0"/>
      <c r="AMC234" s="0"/>
      <c r="AMD234" s="0"/>
      <c r="AME234" s="0"/>
      <c r="AMF234" s="0"/>
      <c r="AMG234" s="0"/>
      <c r="AMH234" s="0"/>
      <c r="AMI234" s="0"/>
      <c r="AMJ234" s="0"/>
    </row>
    <row r="235" s="14" customFormat="true" ht="12.8" hidden="false" customHeight="false" outlineLevel="0" collapsed="false">
      <c r="C235" s="26"/>
      <c r="E235" s="26"/>
      <c r="H235" s="2"/>
      <c r="I235" s="26"/>
      <c r="J235" s="26"/>
      <c r="K235" s="26"/>
      <c r="O235" s="26"/>
      <c r="P235" s="26"/>
      <c r="Q235" s="26"/>
      <c r="R235" s="26"/>
      <c r="S235" s="26"/>
      <c r="T235" s="26"/>
      <c r="U235" s="26"/>
      <c r="W235" s="27"/>
      <c r="AE235" s="26"/>
      <c r="AF235" s="26"/>
      <c r="AG235" s="26"/>
      <c r="AH235" s="26"/>
      <c r="AI235" s="26"/>
      <c r="AJ235" s="26"/>
      <c r="AKX235" s="0"/>
      <c r="AKY235" s="0"/>
      <c r="AKZ235" s="0"/>
      <c r="ALA235" s="0"/>
      <c r="ALB235" s="0"/>
      <c r="ALC235" s="0"/>
      <c r="ALD235" s="0"/>
      <c r="ALE235" s="0"/>
      <c r="ALF235" s="0"/>
      <c r="ALG235" s="0"/>
      <c r="ALH235" s="0"/>
      <c r="ALI235" s="0"/>
      <c r="ALJ235" s="0"/>
      <c r="ALK235" s="0"/>
      <c r="ALL235" s="0"/>
      <c r="ALM235" s="0"/>
      <c r="ALN235" s="0"/>
      <c r="ALO235" s="0"/>
      <c r="ALP235" s="0"/>
      <c r="ALQ235" s="0"/>
      <c r="ALR235" s="0"/>
      <c r="ALS235" s="0"/>
      <c r="ALT235" s="0"/>
      <c r="ALU235" s="0"/>
      <c r="ALV235" s="0"/>
      <c r="ALW235" s="0"/>
      <c r="ALX235" s="0"/>
      <c r="ALY235" s="0"/>
      <c r="ALZ235" s="0"/>
      <c r="AMA235" s="0"/>
      <c r="AMB235" s="0"/>
      <c r="AMC235" s="0"/>
      <c r="AMD235" s="0"/>
      <c r="AME235" s="0"/>
      <c r="AMF235" s="0"/>
      <c r="AMG235" s="0"/>
      <c r="AMH235" s="0"/>
      <c r="AMI235" s="0"/>
      <c r="AMJ235" s="0"/>
    </row>
    <row r="236" s="14" customFormat="true" ht="12.8" hidden="false" customHeight="false" outlineLevel="0" collapsed="false">
      <c r="C236" s="26"/>
      <c r="E236" s="26"/>
      <c r="H236" s="2"/>
      <c r="I236" s="26"/>
      <c r="J236" s="26"/>
      <c r="K236" s="26"/>
      <c r="O236" s="26"/>
      <c r="P236" s="26"/>
      <c r="Q236" s="26"/>
      <c r="R236" s="26"/>
      <c r="S236" s="26"/>
      <c r="T236" s="26"/>
      <c r="U236" s="26"/>
      <c r="W236" s="27"/>
      <c r="AE236" s="26"/>
      <c r="AF236" s="26"/>
      <c r="AG236" s="26"/>
      <c r="AH236" s="26"/>
      <c r="AI236" s="26"/>
      <c r="AJ236" s="26"/>
      <c r="AKX236" s="0"/>
      <c r="AKY236" s="0"/>
      <c r="AKZ236" s="0"/>
      <c r="ALA236" s="0"/>
      <c r="ALB236" s="0"/>
      <c r="ALC236" s="0"/>
      <c r="ALD236" s="0"/>
      <c r="ALE236" s="0"/>
      <c r="ALF236" s="0"/>
      <c r="ALG236" s="0"/>
      <c r="ALH236" s="0"/>
      <c r="ALI236" s="0"/>
      <c r="ALJ236" s="0"/>
      <c r="ALK236" s="0"/>
      <c r="ALL236" s="0"/>
      <c r="ALM236" s="0"/>
      <c r="ALN236" s="0"/>
      <c r="ALO236" s="0"/>
      <c r="ALP236" s="0"/>
      <c r="ALQ236" s="0"/>
      <c r="ALR236" s="0"/>
      <c r="ALS236" s="0"/>
      <c r="ALT236" s="0"/>
      <c r="ALU236" s="0"/>
      <c r="ALV236" s="0"/>
      <c r="ALW236" s="0"/>
      <c r="ALX236" s="0"/>
      <c r="ALY236" s="0"/>
      <c r="ALZ236" s="0"/>
      <c r="AMA236" s="0"/>
      <c r="AMB236" s="0"/>
      <c r="AMC236" s="0"/>
      <c r="AMD236" s="0"/>
      <c r="AME236" s="0"/>
      <c r="AMF236" s="0"/>
      <c r="AMG236" s="0"/>
      <c r="AMH236" s="0"/>
      <c r="AMI236" s="0"/>
      <c r="AMJ236" s="0"/>
    </row>
    <row r="237" s="14" customFormat="true" ht="12.8" hidden="false" customHeight="false" outlineLevel="0" collapsed="false">
      <c r="C237" s="26"/>
      <c r="E237" s="26"/>
      <c r="H237" s="2"/>
      <c r="I237" s="26"/>
      <c r="J237" s="26"/>
      <c r="K237" s="26"/>
      <c r="O237" s="26"/>
      <c r="P237" s="26"/>
      <c r="Q237" s="26"/>
      <c r="R237" s="26"/>
      <c r="S237" s="26"/>
      <c r="T237" s="26"/>
      <c r="U237" s="26"/>
      <c r="W237" s="27"/>
      <c r="AE237" s="26"/>
      <c r="AF237" s="26"/>
      <c r="AG237" s="26"/>
      <c r="AH237" s="26"/>
      <c r="AI237" s="26"/>
      <c r="AJ237" s="26"/>
      <c r="AKX237" s="0"/>
      <c r="AKY237" s="0"/>
      <c r="AKZ237" s="0"/>
      <c r="ALA237" s="0"/>
      <c r="ALB237" s="0"/>
      <c r="ALC237" s="0"/>
      <c r="ALD237" s="0"/>
      <c r="ALE237" s="0"/>
      <c r="ALF237" s="0"/>
      <c r="ALG237" s="0"/>
      <c r="ALH237" s="0"/>
      <c r="ALI237" s="0"/>
      <c r="ALJ237" s="0"/>
      <c r="ALK237" s="0"/>
      <c r="ALL237" s="0"/>
      <c r="ALM237" s="0"/>
      <c r="ALN237" s="0"/>
      <c r="ALO237" s="0"/>
      <c r="ALP237" s="0"/>
      <c r="ALQ237" s="0"/>
      <c r="ALR237" s="0"/>
      <c r="ALS237" s="0"/>
      <c r="ALT237" s="0"/>
      <c r="ALU237" s="0"/>
      <c r="ALV237" s="0"/>
      <c r="ALW237" s="0"/>
      <c r="ALX237" s="0"/>
      <c r="ALY237" s="0"/>
      <c r="ALZ237" s="0"/>
      <c r="AMA237" s="0"/>
      <c r="AMB237" s="0"/>
      <c r="AMC237" s="0"/>
      <c r="AMD237" s="0"/>
      <c r="AME237" s="0"/>
      <c r="AMF237" s="0"/>
      <c r="AMG237" s="0"/>
      <c r="AMH237" s="0"/>
      <c r="AMI237" s="0"/>
      <c r="AMJ237" s="0"/>
    </row>
    <row r="238" s="14" customFormat="true" ht="12.8" hidden="false" customHeight="false" outlineLevel="0" collapsed="false">
      <c r="C238" s="26"/>
      <c r="E238" s="26"/>
      <c r="H238" s="2"/>
      <c r="I238" s="26"/>
      <c r="J238" s="26"/>
      <c r="K238" s="26"/>
      <c r="O238" s="26"/>
      <c r="P238" s="26"/>
      <c r="Q238" s="26"/>
      <c r="R238" s="26"/>
      <c r="S238" s="26"/>
      <c r="T238" s="26"/>
      <c r="U238" s="26"/>
      <c r="W238" s="27"/>
      <c r="AE238" s="26"/>
      <c r="AF238" s="26"/>
      <c r="AG238" s="26"/>
      <c r="AH238" s="26"/>
      <c r="AI238" s="26"/>
      <c r="AJ238" s="26"/>
      <c r="AKX238" s="0"/>
      <c r="AKY238" s="0"/>
      <c r="AKZ238" s="0"/>
      <c r="ALA238" s="0"/>
      <c r="ALB238" s="0"/>
      <c r="ALC238" s="0"/>
      <c r="ALD238" s="0"/>
      <c r="ALE238" s="0"/>
      <c r="ALF238" s="0"/>
      <c r="ALG238" s="0"/>
      <c r="ALH238" s="0"/>
      <c r="ALI238" s="0"/>
      <c r="ALJ238" s="0"/>
      <c r="ALK238" s="0"/>
      <c r="ALL238" s="0"/>
      <c r="ALM238" s="0"/>
      <c r="ALN238" s="0"/>
      <c r="ALO238" s="0"/>
      <c r="ALP238" s="0"/>
      <c r="ALQ238" s="0"/>
      <c r="ALR238" s="0"/>
      <c r="ALS238" s="0"/>
      <c r="ALT238" s="0"/>
      <c r="ALU238" s="0"/>
      <c r="ALV238" s="0"/>
      <c r="ALW238" s="0"/>
      <c r="ALX238" s="0"/>
      <c r="ALY238" s="0"/>
      <c r="ALZ238" s="0"/>
      <c r="AMA238" s="0"/>
      <c r="AMB238" s="0"/>
      <c r="AMC238" s="0"/>
      <c r="AMD238" s="0"/>
      <c r="AME238" s="0"/>
      <c r="AMF238" s="0"/>
      <c r="AMG238" s="0"/>
      <c r="AMH238" s="0"/>
      <c r="AMI238" s="0"/>
      <c r="AMJ238" s="0"/>
    </row>
    <row r="239" s="14" customFormat="true" ht="12.8" hidden="false" customHeight="false" outlineLevel="0" collapsed="false">
      <c r="C239" s="26"/>
      <c r="E239" s="26"/>
      <c r="H239" s="2"/>
      <c r="I239" s="26"/>
      <c r="J239" s="26"/>
      <c r="K239" s="26"/>
      <c r="O239" s="26"/>
      <c r="P239" s="26"/>
      <c r="Q239" s="26"/>
      <c r="R239" s="26"/>
      <c r="S239" s="26"/>
      <c r="T239" s="26"/>
      <c r="U239" s="26"/>
      <c r="W239" s="27"/>
      <c r="AE239" s="26"/>
      <c r="AF239" s="26"/>
      <c r="AG239" s="26"/>
      <c r="AH239" s="26"/>
      <c r="AI239" s="26"/>
      <c r="AJ239" s="26"/>
      <c r="AKX239" s="0"/>
      <c r="AKY239" s="0"/>
      <c r="AKZ239" s="0"/>
      <c r="ALA239" s="0"/>
      <c r="ALB239" s="0"/>
      <c r="ALC239" s="0"/>
      <c r="ALD239" s="0"/>
      <c r="ALE239" s="0"/>
      <c r="ALF239" s="0"/>
      <c r="ALG239" s="0"/>
      <c r="ALH239" s="0"/>
      <c r="ALI239" s="0"/>
      <c r="ALJ239" s="0"/>
      <c r="ALK239" s="0"/>
      <c r="ALL239" s="0"/>
      <c r="ALM239" s="0"/>
      <c r="ALN239" s="0"/>
      <c r="ALO239" s="0"/>
      <c r="ALP239" s="0"/>
      <c r="ALQ239" s="0"/>
      <c r="ALR239" s="0"/>
      <c r="ALS239" s="0"/>
      <c r="ALT239" s="0"/>
      <c r="ALU239" s="0"/>
      <c r="ALV239" s="0"/>
      <c r="ALW239" s="0"/>
      <c r="ALX239" s="0"/>
      <c r="ALY239" s="0"/>
      <c r="ALZ239" s="0"/>
      <c r="AMA239" s="0"/>
      <c r="AMB239" s="0"/>
      <c r="AMC239" s="0"/>
      <c r="AMD239" s="0"/>
      <c r="AME239" s="0"/>
      <c r="AMF239" s="0"/>
      <c r="AMG239" s="0"/>
      <c r="AMH239" s="0"/>
      <c r="AMI239" s="0"/>
      <c r="AMJ239" s="0"/>
    </row>
    <row r="240" s="14" customFormat="true" ht="12.8" hidden="false" customHeight="false" outlineLevel="0" collapsed="false">
      <c r="C240" s="26"/>
      <c r="E240" s="26"/>
      <c r="H240" s="2"/>
      <c r="I240" s="26"/>
      <c r="J240" s="26"/>
      <c r="K240" s="26"/>
      <c r="O240" s="26"/>
      <c r="P240" s="26"/>
      <c r="Q240" s="26"/>
      <c r="R240" s="26"/>
      <c r="S240" s="26"/>
      <c r="T240" s="26"/>
      <c r="U240" s="26"/>
      <c r="W240" s="27"/>
      <c r="AE240" s="26"/>
      <c r="AF240" s="26"/>
      <c r="AG240" s="26"/>
      <c r="AH240" s="26"/>
      <c r="AI240" s="26"/>
      <c r="AJ240" s="26"/>
      <c r="AKX240" s="0"/>
      <c r="AKY240" s="0"/>
      <c r="AKZ240" s="0"/>
      <c r="ALA240" s="0"/>
      <c r="ALB240" s="0"/>
      <c r="ALC240" s="0"/>
      <c r="ALD240" s="0"/>
      <c r="ALE240" s="0"/>
      <c r="ALF240" s="0"/>
      <c r="ALG240" s="0"/>
      <c r="ALH240" s="0"/>
      <c r="ALI240" s="0"/>
      <c r="ALJ240" s="0"/>
      <c r="ALK240" s="0"/>
      <c r="ALL240" s="0"/>
      <c r="ALM240" s="0"/>
      <c r="ALN240" s="0"/>
      <c r="ALO240" s="0"/>
      <c r="ALP240" s="0"/>
      <c r="ALQ240" s="0"/>
      <c r="ALR240" s="0"/>
      <c r="ALS240" s="0"/>
      <c r="ALT240" s="0"/>
      <c r="ALU240" s="0"/>
      <c r="ALV240" s="0"/>
      <c r="ALW240" s="0"/>
      <c r="ALX240" s="0"/>
      <c r="ALY240" s="0"/>
      <c r="ALZ240" s="0"/>
      <c r="AMA240" s="0"/>
      <c r="AMB240" s="0"/>
      <c r="AMC240" s="0"/>
      <c r="AMD240" s="0"/>
      <c r="AME240" s="0"/>
      <c r="AMF240" s="0"/>
      <c r="AMG240" s="0"/>
      <c r="AMH240" s="0"/>
      <c r="AMI240" s="0"/>
      <c r="AMJ240" s="0"/>
    </row>
    <row r="241" s="14" customFormat="true" ht="12.8" hidden="false" customHeight="false" outlineLevel="0" collapsed="false">
      <c r="C241" s="26"/>
      <c r="E241" s="26"/>
      <c r="H241" s="2"/>
      <c r="I241" s="26"/>
      <c r="J241" s="26"/>
      <c r="K241" s="26"/>
      <c r="O241" s="26"/>
      <c r="P241" s="26"/>
      <c r="Q241" s="26"/>
      <c r="R241" s="26"/>
      <c r="S241" s="26"/>
      <c r="T241" s="26"/>
      <c r="U241" s="26"/>
      <c r="W241" s="27"/>
      <c r="AE241" s="26"/>
      <c r="AF241" s="26"/>
      <c r="AG241" s="26"/>
      <c r="AH241" s="26"/>
      <c r="AI241" s="26"/>
      <c r="AJ241" s="26"/>
      <c r="AKX241" s="0"/>
      <c r="AKY241" s="0"/>
      <c r="AKZ241" s="0"/>
      <c r="ALA241" s="0"/>
      <c r="ALB241" s="0"/>
      <c r="ALC241" s="0"/>
      <c r="ALD241" s="0"/>
      <c r="ALE241" s="0"/>
      <c r="ALF241" s="0"/>
      <c r="ALG241" s="0"/>
      <c r="ALH241" s="0"/>
      <c r="ALI241" s="0"/>
      <c r="ALJ241" s="0"/>
      <c r="ALK241" s="0"/>
      <c r="ALL241" s="0"/>
      <c r="ALM241" s="0"/>
      <c r="ALN241" s="0"/>
      <c r="ALO241" s="0"/>
      <c r="ALP241" s="0"/>
      <c r="ALQ241" s="0"/>
      <c r="ALR241" s="0"/>
      <c r="ALS241" s="0"/>
      <c r="ALT241" s="0"/>
      <c r="ALU241" s="0"/>
      <c r="ALV241" s="0"/>
      <c r="ALW241" s="0"/>
      <c r="ALX241" s="0"/>
      <c r="ALY241" s="0"/>
      <c r="ALZ241" s="0"/>
      <c r="AMA241" s="0"/>
      <c r="AMB241" s="0"/>
      <c r="AMC241" s="0"/>
      <c r="AMD241" s="0"/>
      <c r="AME241" s="0"/>
      <c r="AMF241" s="0"/>
      <c r="AMG241" s="0"/>
      <c r="AMH241" s="0"/>
      <c r="AMI241" s="0"/>
      <c r="AMJ241" s="0"/>
    </row>
    <row r="242" s="14" customFormat="true" ht="12.8" hidden="false" customHeight="false" outlineLevel="0" collapsed="false">
      <c r="C242" s="26"/>
      <c r="E242" s="26"/>
      <c r="H242" s="2"/>
      <c r="I242" s="26"/>
      <c r="J242" s="26"/>
      <c r="K242" s="26"/>
      <c r="O242" s="26"/>
      <c r="P242" s="26"/>
      <c r="Q242" s="26"/>
      <c r="R242" s="26"/>
      <c r="S242" s="26"/>
      <c r="T242" s="26"/>
      <c r="U242" s="26"/>
      <c r="W242" s="27"/>
      <c r="AE242" s="26"/>
      <c r="AF242" s="26"/>
      <c r="AG242" s="26"/>
      <c r="AH242" s="26"/>
      <c r="AI242" s="26"/>
      <c r="AJ242" s="26"/>
      <c r="AKX242" s="0"/>
      <c r="AKY242" s="0"/>
      <c r="AKZ242" s="0"/>
      <c r="ALA242" s="0"/>
      <c r="ALB242" s="0"/>
      <c r="ALC242" s="0"/>
      <c r="ALD242" s="0"/>
      <c r="ALE242" s="0"/>
      <c r="ALF242" s="0"/>
      <c r="ALG242" s="0"/>
      <c r="ALH242" s="0"/>
      <c r="ALI242" s="0"/>
      <c r="ALJ242" s="0"/>
      <c r="ALK242" s="0"/>
      <c r="ALL242" s="0"/>
      <c r="ALM242" s="0"/>
      <c r="ALN242" s="0"/>
      <c r="ALO242" s="0"/>
      <c r="ALP242" s="0"/>
      <c r="ALQ242" s="0"/>
      <c r="ALR242" s="0"/>
      <c r="ALS242" s="0"/>
      <c r="ALT242" s="0"/>
      <c r="ALU242" s="0"/>
      <c r="ALV242" s="0"/>
      <c r="ALW242" s="0"/>
      <c r="ALX242" s="0"/>
      <c r="ALY242" s="0"/>
      <c r="ALZ242" s="0"/>
      <c r="AMA242" s="0"/>
      <c r="AMB242" s="0"/>
      <c r="AMC242" s="0"/>
      <c r="AMD242" s="0"/>
      <c r="AME242" s="0"/>
      <c r="AMF242" s="0"/>
      <c r="AMG242" s="0"/>
      <c r="AMH242" s="0"/>
      <c r="AMI242" s="0"/>
      <c r="AMJ242" s="0"/>
    </row>
    <row r="243" s="14" customFormat="true" ht="12.8" hidden="false" customHeight="false" outlineLevel="0" collapsed="false">
      <c r="C243" s="26"/>
      <c r="E243" s="26"/>
      <c r="H243" s="2"/>
      <c r="I243" s="26"/>
      <c r="J243" s="26"/>
      <c r="K243" s="26"/>
      <c r="O243" s="26"/>
      <c r="P243" s="26"/>
      <c r="Q243" s="26"/>
      <c r="R243" s="26"/>
      <c r="S243" s="26"/>
      <c r="T243" s="26"/>
      <c r="U243" s="26"/>
      <c r="W243" s="27"/>
      <c r="AE243" s="26"/>
      <c r="AF243" s="26"/>
      <c r="AG243" s="26"/>
      <c r="AH243" s="26"/>
      <c r="AI243" s="26"/>
      <c r="AJ243" s="26"/>
      <c r="AKX243" s="0"/>
      <c r="AKY243" s="0"/>
      <c r="AKZ243" s="0"/>
      <c r="ALA243" s="0"/>
      <c r="ALB243" s="0"/>
      <c r="ALC243" s="0"/>
      <c r="ALD243" s="0"/>
      <c r="ALE243" s="0"/>
      <c r="ALF243" s="0"/>
      <c r="ALG243" s="0"/>
      <c r="ALH243" s="0"/>
      <c r="ALI243" s="0"/>
      <c r="ALJ243" s="0"/>
      <c r="ALK243" s="0"/>
      <c r="ALL243" s="0"/>
      <c r="ALM243" s="0"/>
      <c r="ALN243" s="0"/>
      <c r="ALO243" s="0"/>
      <c r="ALP243" s="0"/>
      <c r="ALQ243" s="0"/>
      <c r="ALR243" s="0"/>
      <c r="ALS243" s="0"/>
      <c r="ALT243" s="0"/>
      <c r="ALU243" s="0"/>
      <c r="ALV243" s="0"/>
      <c r="ALW243" s="0"/>
      <c r="ALX243" s="0"/>
      <c r="ALY243" s="0"/>
      <c r="ALZ243" s="0"/>
      <c r="AMA243" s="0"/>
      <c r="AMB243" s="0"/>
      <c r="AMC243" s="0"/>
      <c r="AMD243" s="0"/>
      <c r="AME243" s="0"/>
      <c r="AMF243" s="0"/>
      <c r="AMG243" s="0"/>
      <c r="AMH243" s="0"/>
      <c r="AMI243" s="0"/>
      <c r="AMJ243" s="0"/>
    </row>
    <row r="244" s="14" customFormat="true" ht="12.8" hidden="false" customHeight="false" outlineLevel="0" collapsed="false">
      <c r="C244" s="26"/>
      <c r="E244" s="26"/>
      <c r="H244" s="2"/>
      <c r="I244" s="26"/>
      <c r="J244" s="26"/>
      <c r="K244" s="26"/>
      <c r="O244" s="26"/>
      <c r="P244" s="26"/>
      <c r="Q244" s="26"/>
      <c r="R244" s="26"/>
      <c r="S244" s="26"/>
      <c r="T244" s="26"/>
      <c r="U244" s="26"/>
      <c r="W244" s="27"/>
      <c r="AE244" s="26"/>
      <c r="AF244" s="26"/>
      <c r="AG244" s="26"/>
      <c r="AH244" s="26"/>
      <c r="AI244" s="26"/>
      <c r="AJ244" s="26"/>
      <c r="AKX244" s="0"/>
      <c r="AKY244" s="0"/>
      <c r="AKZ244" s="0"/>
      <c r="ALA244" s="0"/>
      <c r="ALB244" s="0"/>
      <c r="ALC244" s="0"/>
      <c r="ALD244" s="0"/>
      <c r="ALE244" s="0"/>
      <c r="ALF244" s="0"/>
      <c r="ALG244" s="0"/>
      <c r="ALH244" s="0"/>
      <c r="ALI244" s="0"/>
      <c r="ALJ244" s="0"/>
      <c r="ALK244" s="0"/>
      <c r="ALL244" s="0"/>
      <c r="ALM244" s="0"/>
      <c r="ALN244" s="0"/>
      <c r="ALO244" s="0"/>
      <c r="ALP244" s="0"/>
      <c r="ALQ244" s="0"/>
      <c r="ALR244" s="0"/>
      <c r="ALS244" s="0"/>
      <c r="ALT244" s="0"/>
      <c r="ALU244" s="0"/>
      <c r="ALV244" s="0"/>
      <c r="ALW244" s="0"/>
      <c r="ALX244" s="0"/>
      <c r="ALY244" s="0"/>
      <c r="ALZ244" s="0"/>
      <c r="AMA244" s="0"/>
      <c r="AMB244" s="0"/>
      <c r="AMC244" s="0"/>
      <c r="AMD244" s="0"/>
      <c r="AME244" s="0"/>
      <c r="AMF244" s="0"/>
      <c r="AMG244" s="0"/>
      <c r="AMH244" s="0"/>
      <c r="AMI244" s="0"/>
      <c r="AMJ244" s="0"/>
    </row>
    <row r="245" s="14" customFormat="true" ht="12.8" hidden="false" customHeight="false" outlineLevel="0" collapsed="false">
      <c r="C245" s="26"/>
      <c r="E245" s="26"/>
      <c r="H245" s="2"/>
      <c r="I245" s="26"/>
      <c r="J245" s="26"/>
      <c r="K245" s="26"/>
      <c r="O245" s="26"/>
      <c r="P245" s="26"/>
      <c r="Q245" s="26"/>
      <c r="R245" s="26"/>
      <c r="S245" s="26"/>
      <c r="T245" s="26"/>
      <c r="U245" s="26"/>
      <c r="W245" s="27"/>
      <c r="AE245" s="26"/>
      <c r="AF245" s="26"/>
      <c r="AG245" s="26"/>
      <c r="AH245" s="26"/>
      <c r="AI245" s="26"/>
      <c r="AJ245" s="26"/>
      <c r="AKX245" s="0"/>
      <c r="AKY245" s="0"/>
      <c r="AKZ245" s="0"/>
      <c r="ALA245" s="0"/>
      <c r="ALB245" s="0"/>
      <c r="ALC245" s="0"/>
      <c r="ALD245" s="0"/>
      <c r="ALE245" s="0"/>
      <c r="ALF245" s="0"/>
      <c r="ALG245" s="0"/>
      <c r="ALH245" s="0"/>
      <c r="ALI245" s="0"/>
      <c r="ALJ245" s="0"/>
      <c r="ALK245" s="0"/>
      <c r="ALL245" s="0"/>
      <c r="ALM245" s="0"/>
      <c r="ALN245" s="0"/>
      <c r="ALO245" s="0"/>
      <c r="ALP245" s="0"/>
      <c r="ALQ245" s="0"/>
      <c r="ALR245" s="0"/>
      <c r="ALS245" s="0"/>
      <c r="ALT245" s="0"/>
      <c r="ALU245" s="0"/>
      <c r="ALV245" s="0"/>
      <c r="ALW245" s="0"/>
      <c r="ALX245" s="0"/>
      <c r="ALY245" s="0"/>
      <c r="ALZ245" s="0"/>
      <c r="AMA245" s="0"/>
      <c r="AMB245" s="0"/>
      <c r="AMC245" s="0"/>
      <c r="AMD245" s="0"/>
      <c r="AME245" s="0"/>
      <c r="AMF245" s="0"/>
      <c r="AMG245" s="0"/>
      <c r="AMH245" s="0"/>
      <c r="AMI245" s="0"/>
      <c r="AMJ245" s="0"/>
    </row>
    <row r="246" s="14" customFormat="true" ht="12.8" hidden="false" customHeight="false" outlineLevel="0" collapsed="false">
      <c r="C246" s="26"/>
      <c r="E246" s="26"/>
      <c r="H246" s="2"/>
      <c r="I246" s="26"/>
      <c r="J246" s="26"/>
      <c r="K246" s="26"/>
      <c r="O246" s="26"/>
      <c r="P246" s="26"/>
      <c r="Q246" s="26"/>
      <c r="R246" s="26"/>
      <c r="S246" s="26"/>
      <c r="T246" s="26"/>
      <c r="U246" s="26"/>
      <c r="W246" s="27"/>
      <c r="AE246" s="26"/>
      <c r="AF246" s="26"/>
      <c r="AG246" s="26"/>
      <c r="AH246" s="26"/>
      <c r="AI246" s="26"/>
      <c r="AJ246" s="26"/>
      <c r="AKX246" s="0"/>
      <c r="AKY246" s="0"/>
      <c r="AKZ246" s="0"/>
      <c r="ALA246" s="0"/>
      <c r="ALB246" s="0"/>
      <c r="ALC246" s="0"/>
      <c r="ALD246" s="0"/>
      <c r="ALE246" s="0"/>
      <c r="ALF246" s="0"/>
      <c r="ALG246" s="0"/>
      <c r="ALH246" s="0"/>
      <c r="ALI246" s="0"/>
      <c r="ALJ246" s="0"/>
      <c r="ALK246" s="0"/>
      <c r="ALL246" s="0"/>
      <c r="ALM246" s="0"/>
      <c r="ALN246" s="0"/>
      <c r="ALO246" s="0"/>
      <c r="ALP246" s="0"/>
      <c r="ALQ246" s="0"/>
      <c r="ALR246" s="0"/>
      <c r="ALS246" s="0"/>
      <c r="ALT246" s="0"/>
      <c r="ALU246" s="0"/>
      <c r="ALV246" s="0"/>
      <c r="ALW246" s="0"/>
      <c r="ALX246" s="0"/>
      <c r="ALY246" s="0"/>
      <c r="ALZ246" s="0"/>
      <c r="AMA246" s="0"/>
      <c r="AMB246" s="0"/>
      <c r="AMC246" s="0"/>
      <c r="AMD246" s="0"/>
      <c r="AME246" s="0"/>
      <c r="AMF246" s="0"/>
      <c r="AMG246" s="0"/>
      <c r="AMH246" s="0"/>
      <c r="AMI246" s="0"/>
      <c r="AMJ246" s="0"/>
    </row>
    <row r="247" s="14" customFormat="true" ht="12.8" hidden="false" customHeight="false" outlineLevel="0" collapsed="false">
      <c r="C247" s="26"/>
      <c r="E247" s="26"/>
      <c r="H247" s="2"/>
      <c r="I247" s="26"/>
      <c r="J247" s="26"/>
      <c r="K247" s="26"/>
      <c r="O247" s="26"/>
      <c r="P247" s="26"/>
      <c r="Q247" s="26"/>
      <c r="R247" s="26"/>
      <c r="S247" s="26"/>
      <c r="T247" s="26"/>
      <c r="U247" s="26"/>
      <c r="W247" s="27"/>
      <c r="AE247" s="26"/>
      <c r="AF247" s="26"/>
      <c r="AG247" s="26"/>
      <c r="AH247" s="26"/>
      <c r="AI247" s="26"/>
      <c r="AJ247" s="26"/>
      <c r="AKX247" s="0"/>
      <c r="AKY247" s="0"/>
      <c r="AKZ247" s="0"/>
      <c r="ALA247" s="0"/>
      <c r="ALB247" s="0"/>
      <c r="ALC247" s="0"/>
      <c r="ALD247" s="0"/>
      <c r="ALE247" s="0"/>
      <c r="ALF247" s="0"/>
      <c r="ALG247" s="0"/>
      <c r="ALH247" s="0"/>
      <c r="ALI247" s="0"/>
      <c r="ALJ247" s="0"/>
      <c r="ALK247" s="0"/>
      <c r="ALL247" s="0"/>
      <c r="ALM247" s="0"/>
      <c r="ALN247" s="0"/>
      <c r="ALO247" s="0"/>
      <c r="ALP247" s="0"/>
      <c r="ALQ247" s="0"/>
      <c r="ALR247" s="0"/>
      <c r="ALS247" s="0"/>
      <c r="ALT247" s="0"/>
      <c r="ALU247" s="0"/>
      <c r="ALV247" s="0"/>
      <c r="ALW247" s="0"/>
      <c r="ALX247" s="0"/>
      <c r="ALY247" s="0"/>
      <c r="ALZ247" s="0"/>
      <c r="AMA247" s="0"/>
      <c r="AMB247" s="0"/>
      <c r="AMC247" s="0"/>
      <c r="AMD247" s="0"/>
      <c r="AME247" s="0"/>
      <c r="AMF247" s="0"/>
      <c r="AMG247" s="0"/>
      <c r="AMH247" s="0"/>
      <c r="AMI247" s="0"/>
      <c r="AMJ247" s="0"/>
    </row>
    <row r="248" s="14" customFormat="true" ht="12.8" hidden="false" customHeight="false" outlineLevel="0" collapsed="false">
      <c r="C248" s="26"/>
      <c r="E248" s="26"/>
      <c r="H248" s="2"/>
      <c r="I248" s="26"/>
      <c r="J248" s="26"/>
      <c r="K248" s="26"/>
      <c r="O248" s="26"/>
      <c r="P248" s="26"/>
      <c r="Q248" s="26"/>
      <c r="R248" s="26"/>
      <c r="S248" s="26"/>
      <c r="T248" s="26"/>
      <c r="U248" s="26"/>
      <c r="W248" s="27"/>
      <c r="AE248" s="26"/>
      <c r="AF248" s="26"/>
      <c r="AG248" s="26"/>
      <c r="AH248" s="26"/>
      <c r="AI248" s="26"/>
      <c r="AJ248" s="26"/>
      <c r="AKX248" s="0"/>
      <c r="AKY248" s="0"/>
      <c r="AKZ248" s="0"/>
      <c r="ALA248" s="0"/>
      <c r="ALB248" s="0"/>
      <c r="ALC248" s="0"/>
      <c r="ALD248" s="0"/>
      <c r="ALE248" s="0"/>
      <c r="ALF248" s="0"/>
      <c r="ALG248" s="0"/>
      <c r="ALH248" s="0"/>
      <c r="ALI248" s="0"/>
      <c r="ALJ248" s="0"/>
      <c r="ALK248" s="0"/>
      <c r="ALL248" s="0"/>
      <c r="ALM248" s="0"/>
      <c r="ALN248" s="0"/>
      <c r="ALO248" s="0"/>
      <c r="ALP248" s="0"/>
      <c r="ALQ248" s="0"/>
      <c r="ALR248" s="0"/>
      <c r="ALS248" s="0"/>
      <c r="ALT248" s="0"/>
      <c r="ALU248" s="0"/>
      <c r="ALV248" s="0"/>
      <c r="ALW248" s="0"/>
      <c r="ALX248" s="0"/>
      <c r="ALY248" s="0"/>
      <c r="ALZ248" s="0"/>
      <c r="AMA248" s="0"/>
      <c r="AMB248" s="0"/>
      <c r="AMC248" s="0"/>
      <c r="AMD248" s="0"/>
      <c r="AME248" s="0"/>
      <c r="AMF248" s="0"/>
      <c r="AMG248" s="0"/>
      <c r="AMH248" s="0"/>
      <c r="AMI248" s="0"/>
      <c r="AMJ248" s="0"/>
    </row>
    <row r="249" s="14" customFormat="true" ht="12.8" hidden="false" customHeight="false" outlineLevel="0" collapsed="false">
      <c r="C249" s="26"/>
      <c r="E249" s="26"/>
      <c r="H249" s="2"/>
      <c r="I249" s="26"/>
      <c r="J249" s="26"/>
      <c r="K249" s="26"/>
      <c r="O249" s="26"/>
      <c r="P249" s="26"/>
      <c r="Q249" s="26"/>
      <c r="R249" s="26"/>
      <c r="S249" s="26"/>
      <c r="T249" s="26"/>
      <c r="U249" s="26"/>
      <c r="W249" s="27"/>
      <c r="AE249" s="26"/>
      <c r="AF249" s="26"/>
      <c r="AG249" s="26"/>
      <c r="AH249" s="26"/>
      <c r="AI249" s="26"/>
      <c r="AJ249" s="26"/>
      <c r="AKX249" s="0"/>
      <c r="AKY249" s="0"/>
      <c r="AKZ249" s="0"/>
      <c r="ALA249" s="0"/>
      <c r="ALB249" s="0"/>
      <c r="ALC249" s="0"/>
      <c r="ALD249" s="0"/>
      <c r="ALE249" s="0"/>
      <c r="ALF249" s="0"/>
      <c r="ALG249" s="0"/>
      <c r="ALH249" s="0"/>
      <c r="ALI249" s="0"/>
      <c r="ALJ249" s="0"/>
      <c r="ALK249" s="0"/>
      <c r="ALL249" s="0"/>
      <c r="ALM249" s="0"/>
      <c r="ALN249" s="0"/>
      <c r="ALO249" s="0"/>
      <c r="ALP249" s="0"/>
      <c r="ALQ249" s="0"/>
      <c r="ALR249" s="0"/>
      <c r="ALS249" s="0"/>
      <c r="ALT249" s="0"/>
      <c r="ALU249" s="0"/>
      <c r="ALV249" s="0"/>
      <c r="ALW249" s="0"/>
      <c r="ALX249" s="0"/>
      <c r="ALY249" s="0"/>
      <c r="ALZ249" s="0"/>
      <c r="AMA249" s="0"/>
      <c r="AMB249" s="0"/>
      <c r="AMC249" s="0"/>
      <c r="AMD249" s="0"/>
      <c r="AME249" s="0"/>
      <c r="AMF249" s="0"/>
      <c r="AMG249" s="0"/>
      <c r="AMH249" s="0"/>
      <c r="AMI249" s="0"/>
      <c r="AMJ249" s="0"/>
    </row>
    <row r="250" s="14" customFormat="true" ht="12.8" hidden="false" customHeight="false" outlineLevel="0" collapsed="false">
      <c r="C250" s="26"/>
      <c r="E250" s="26"/>
      <c r="H250" s="2"/>
      <c r="I250" s="26"/>
      <c r="J250" s="26"/>
      <c r="K250" s="26"/>
      <c r="O250" s="26"/>
      <c r="P250" s="26"/>
      <c r="Q250" s="26"/>
      <c r="R250" s="26"/>
      <c r="S250" s="26"/>
      <c r="T250" s="26"/>
      <c r="U250" s="26"/>
      <c r="W250" s="27"/>
      <c r="AE250" s="26"/>
      <c r="AF250" s="26"/>
      <c r="AG250" s="26"/>
      <c r="AH250" s="26"/>
      <c r="AI250" s="26"/>
      <c r="AJ250" s="26"/>
      <c r="AKX250" s="0"/>
      <c r="AKY250" s="0"/>
      <c r="AKZ250" s="0"/>
      <c r="ALA250" s="0"/>
      <c r="ALB250" s="0"/>
      <c r="ALC250" s="0"/>
      <c r="ALD250" s="0"/>
      <c r="ALE250" s="0"/>
      <c r="ALF250" s="0"/>
      <c r="ALG250" s="0"/>
      <c r="ALH250" s="0"/>
      <c r="ALI250" s="0"/>
      <c r="ALJ250" s="0"/>
      <c r="ALK250" s="0"/>
      <c r="ALL250" s="0"/>
      <c r="ALM250" s="0"/>
      <c r="ALN250" s="0"/>
      <c r="ALO250" s="0"/>
      <c r="ALP250" s="0"/>
      <c r="ALQ250" s="0"/>
      <c r="ALR250" s="0"/>
      <c r="ALS250" s="0"/>
      <c r="ALT250" s="0"/>
      <c r="ALU250" s="0"/>
      <c r="ALV250" s="0"/>
      <c r="ALW250" s="0"/>
      <c r="ALX250" s="0"/>
      <c r="ALY250" s="0"/>
      <c r="ALZ250" s="0"/>
      <c r="AMA250" s="0"/>
      <c r="AMB250" s="0"/>
      <c r="AMC250" s="0"/>
      <c r="AMD250" s="0"/>
      <c r="AME250" s="0"/>
      <c r="AMF250" s="0"/>
      <c r="AMG250" s="0"/>
      <c r="AMH250" s="0"/>
      <c r="AMI250" s="0"/>
      <c r="AMJ250" s="0"/>
    </row>
    <row r="251" s="14" customFormat="true" ht="12.8" hidden="false" customHeight="false" outlineLevel="0" collapsed="false">
      <c r="C251" s="26"/>
      <c r="E251" s="26"/>
      <c r="H251" s="2"/>
      <c r="I251" s="26"/>
      <c r="J251" s="26"/>
      <c r="K251" s="26"/>
      <c r="O251" s="26"/>
      <c r="P251" s="26"/>
      <c r="Q251" s="26"/>
      <c r="R251" s="26"/>
      <c r="S251" s="26"/>
      <c r="T251" s="26"/>
      <c r="U251" s="26"/>
      <c r="W251" s="27"/>
      <c r="AE251" s="26"/>
      <c r="AF251" s="26"/>
      <c r="AG251" s="26"/>
      <c r="AH251" s="26"/>
      <c r="AI251" s="26"/>
      <c r="AJ251" s="26"/>
      <c r="AKX251" s="0"/>
      <c r="AKY251" s="0"/>
      <c r="AKZ251" s="0"/>
      <c r="ALA251" s="0"/>
      <c r="ALB251" s="0"/>
      <c r="ALC251" s="0"/>
      <c r="ALD251" s="0"/>
      <c r="ALE251" s="0"/>
      <c r="ALF251" s="0"/>
      <c r="ALG251" s="0"/>
      <c r="ALH251" s="0"/>
      <c r="ALI251" s="0"/>
      <c r="ALJ251" s="0"/>
      <c r="ALK251" s="0"/>
      <c r="ALL251" s="0"/>
      <c r="ALM251" s="0"/>
      <c r="ALN251" s="0"/>
      <c r="ALO251" s="0"/>
      <c r="ALP251" s="0"/>
      <c r="ALQ251" s="0"/>
      <c r="ALR251" s="0"/>
      <c r="ALS251" s="0"/>
      <c r="ALT251" s="0"/>
      <c r="ALU251" s="0"/>
      <c r="ALV251" s="0"/>
      <c r="ALW251" s="0"/>
      <c r="ALX251" s="0"/>
      <c r="ALY251" s="0"/>
      <c r="ALZ251" s="0"/>
      <c r="AMA251" s="0"/>
      <c r="AMB251" s="0"/>
      <c r="AMC251" s="0"/>
      <c r="AMD251" s="0"/>
      <c r="AME251" s="0"/>
      <c r="AMF251" s="0"/>
      <c r="AMG251" s="0"/>
      <c r="AMH251" s="0"/>
      <c r="AMI251" s="0"/>
      <c r="AMJ251" s="0"/>
    </row>
    <row r="252" s="14" customFormat="true" ht="12.8" hidden="false" customHeight="false" outlineLevel="0" collapsed="false">
      <c r="C252" s="26"/>
      <c r="E252" s="26"/>
      <c r="H252" s="2"/>
      <c r="I252" s="26"/>
      <c r="J252" s="26"/>
      <c r="K252" s="26"/>
      <c r="O252" s="26"/>
      <c r="P252" s="26"/>
      <c r="Q252" s="26"/>
      <c r="R252" s="26"/>
      <c r="S252" s="26"/>
      <c r="T252" s="26"/>
      <c r="U252" s="26"/>
      <c r="W252" s="27"/>
      <c r="AE252" s="26"/>
      <c r="AF252" s="26"/>
      <c r="AG252" s="26"/>
      <c r="AH252" s="26"/>
      <c r="AI252" s="26"/>
      <c r="AJ252" s="26"/>
      <c r="AKX252" s="0"/>
      <c r="AKY252" s="0"/>
      <c r="AKZ252" s="0"/>
      <c r="ALA252" s="0"/>
      <c r="ALB252" s="0"/>
      <c r="ALC252" s="0"/>
      <c r="ALD252" s="0"/>
      <c r="ALE252" s="0"/>
      <c r="ALF252" s="0"/>
      <c r="ALG252" s="0"/>
      <c r="ALH252" s="0"/>
      <c r="ALI252" s="0"/>
      <c r="ALJ252" s="0"/>
      <c r="ALK252" s="0"/>
      <c r="ALL252" s="0"/>
      <c r="ALM252" s="0"/>
      <c r="ALN252" s="0"/>
      <c r="ALO252" s="0"/>
      <c r="ALP252" s="0"/>
      <c r="ALQ252" s="0"/>
      <c r="ALR252" s="0"/>
      <c r="ALS252" s="0"/>
      <c r="ALT252" s="0"/>
      <c r="ALU252" s="0"/>
      <c r="ALV252" s="0"/>
      <c r="ALW252" s="0"/>
      <c r="ALX252" s="0"/>
      <c r="ALY252" s="0"/>
      <c r="ALZ252" s="0"/>
      <c r="AMA252" s="0"/>
      <c r="AMB252" s="0"/>
      <c r="AMC252" s="0"/>
      <c r="AMD252" s="0"/>
      <c r="AME252" s="0"/>
      <c r="AMF252" s="0"/>
      <c r="AMG252" s="0"/>
      <c r="AMH252" s="0"/>
      <c r="AMI252" s="0"/>
      <c r="AMJ252" s="0"/>
    </row>
    <row r="253" s="14" customFormat="true" ht="12.8" hidden="false" customHeight="false" outlineLevel="0" collapsed="false">
      <c r="C253" s="26"/>
      <c r="E253" s="26"/>
      <c r="H253" s="2"/>
      <c r="I253" s="26"/>
      <c r="J253" s="26"/>
      <c r="K253" s="26"/>
      <c r="O253" s="26"/>
      <c r="P253" s="26"/>
      <c r="Q253" s="26"/>
      <c r="R253" s="26"/>
      <c r="S253" s="26"/>
      <c r="T253" s="26"/>
      <c r="U253" s="26"/>
      <c r="W253" s="27"/>
      <c r="AE253" s="26"/>
      <c r="AF253" s="26"/>
      <c r="AG253" s="26"/>
      <c r="AH253" s="26"/>
      <c r="AI253" s="26"/>
      <c r="AJ253" s="26"/>
      <c r="AKX253" s="0"/>
      <c r="AKY253" s="0"/>
      <c r="AKZ253" s="0"/>
      <c r="ALA253" s="0"/>
      <c r="ALB253" s="0"/>
      <c r="ALC253" s="0"/>
      <c r="ALD253" s="0"/>
      <c r="ALE253" s="0"/>
      <c r="ALF253" s="0"/>
      <c r="ALG253" s="0"/>
      <c r="ALH253" s="0"/>
      <c r="ALI253" s="0"/>
      <c r="ALJ253" s="0"/>
      <c r="ALK253" s="0"/>
      <c r="ALL253" s="0"/>
      <c r="ALM253" s="0"/>
      <c r="ALN253" s="0"/>
      <c r="ALO253" s="0"/>
      <c r="ALP253" s="0"/>
      <c r="ALQ253" s="0"/>
      <c r="ALR253" s="0"/>
      <c r="ALS253" s="0"/>
      <c r="ALT253" s="0"/>
      <c r="ALU253" s="0"/>
      <c r="ALV253" s="0"/>
      <c r="ALW253" s="0"/>
      <c r="ALX253" s="0"/>
      <c r="ALY253" s="0"/>
      <c r="ALZ253" s="0"/>
      <c r="AMA253" s="0"/>
      <c r="AMB253" s="0"/>
      <c r="AMC253" s="0"/>
      <c r="AMD253" s="0"/>
      <c r="AME253" s="0"/>
      <c r="AMF253" s="0"/>
      <c r="AMG253" s="0"/>
      <c r="AMH253" s="0"/>
      <c r="AMI253" s="0"/>
      <c r="AMJ253" s="0"/>
    </row>
    <row r="254" s="14" customFormat="true" ht="12.8" hidden="false" customHeight="false" outlineLevel="0" collapsed="false">
      <c r="C254" s="26"/>
      <c r="E254" s="26"/>
      <c r="H254" s="2"/>
      <c r="I254" s="26"/>
      <c r="J254" s="26"/>
      <c r="K254" s="26"/>
      <c r="O254" s="26"/>
      <c r="P254" s="26"/>
      <c r="Q254" s="26"/>
      <c r="R254" s="26"/>
      <c r="S254" s="26"/>
      <c r="T254" s="26"/>
      <c r="U254" s="26"/>
      <c r="W254" s="27"/>
      <c r="AE254" s="26"/>
      <c r="AF254" s="26"/>
      <c r="AG254" s="26"/>
      <c r="AH254" s="26"/>
      <c r="AI254" s="26"/>
      <c r="AJ254" s="26"/>
      <c r="AKX254" s="0"/>
      <c r="AKY254" s="0"/>
      <c r="AKZ254" s="0"/>
      <c r="ALA254" s="0"/>
      <c r="ALB254" s="0"/>
      <c r="ALC254" s="0"/>
      <c r="ALD254" s="0"/>
      <c r="ALE254" s="0"/>
      <c r="ALF254" s="0"/>
      <c r="ALG254" s="0"/>
      <c r="ALH254" s="0"/>
      <c r="ALI254" s="0"/>
      <c r="ALJ254" s="0"/>
      <c r="ALK254" s="0"/>
      <c r="ALL254" s="0"/>
      <c r="ALM254" s="0"/>
      <c r="ALN254" s="0"/>
      <c r="ALO254" s="0"/>
      <c r="ALP254" s="0"/>
      <c r="ALQ254" s="0"/>
      <c r="ALR254" s="0"/>
      <c r="ALS254" s="0"/>
      <c r="ALT254" s="0"/>
      <c r="ALU254" s="0"/>
      <c r="ALV254" s="0"/>
      <c r="ALW254" s="0"/>
      <c r="ALX254" s="0"/>
      <c r="ALY254" s="0"/>
      <c r="ALZ254" s="0"/>
      <c r="AMA254" s="0"/>
      <c r="AMB254" s="0"/>
      <c r="AMC254" s="0"/>
      <c r="AMD254" s="0"/>
      <c r="AME254" s="0"/>
      <c r="AMF254" s="0"/>
      <c r="AMG254" s="0"/>
      <c r="AMH254" s="0"/>
      <c r="AMI254" s="0"/>
      <c r="AMJ254" s="0"/>
    </row>
    <row r="255" s="14" customFormat="true" ht="12.8" hidden="false" customHeight="false" outlineLevel="0" collapsed="false">
      <c r="C255" s="26"/>
      <c r="E255" s="26"/>
      <c r="H255" s="2"/>
      <c r="I255" s="26"/>
      <c r="J255" s="26"/>
      <c r="K255" s="26"/>
      <c r="O255" s="26"/>
      <c r="P255" s="26"/>
      <c r="Q255" s="26"/>
      <c r="R255" s="26"/>
      <c r="S255" s="26"/>
      <c r="T255" s="26"/>
      <c r="U255" s="26"/>
      <c r="W255" s="27"/>
      <c r="AE255" s="26"/>
      <c r="AF255" s="26"/>
      <c r="AG255" s="26"/>
      <c r="AH255" s="26"/>
      <c r="AI255" s="26"/>
      <c r="AJ255" s="26"/>
      <c r="AKX255" s="0"/>
      <c r="AKY255" s="0"/>
      <c r="AKZ255" s="0"/>
      <c r="ALA255" s="0"/>
      <c r="ALB255" s="0"/>
      <c r="ALC255" s="0"/>
      <c r="ALD255" s="0"/>
      <c r="ALE255" s="0"/>
      <c r="ALF255" s="0"/>
      <c r="ALG255" s="0"/>
      <c r="ALH255" s="0"/>
      <c r="ALI255" s="0"/>
      <c r="ALJ255" s="0"/>
      <c r="ALK255" s="0"/>
      <c r="ALL255" s="0"/>
      <c r="ALM255" s="0"/>
      <c r="ALN255" s="0"/>
      <c r="ALO255" s="0"/>
      <c r="ALP255" s="0"/>
      <c r="ALQ255" s="0"/>
      <c r="ALR255" s="0"/>
      <c r="ALS255" s="0"/>
      <c r="ALT255" s="0"/>
      <c r="ALU255" s="0"/>
      <c r="ALV255" s="0"/>
      <c r="ALW255" s="0"/>
      <c r="ALX255" s="0"/>
      <c r="ALY255" s="0"/>
      <c r="ALZ255" s="0"/>
      <c r="AMA255" s="0"/>
      <c r="AMB255" s="0"/>
      <c r="AMC255" s="0"/>
      <c r="AMD255" s="0"/>
      <c r="AME255" s="0"/>
      <c r="AMF255" s="0"/>
      <c r="AMG255" s="0"/>
      <c r="AMH255" s="0"/>
      <c r="AMI255" s="0"/>
      <c r="AMJ255" s="0"/>
    </row>
    <row r="256" s="14" customFormat="true" ht="12.8" hidden="false" customHeight="false" outlineLevel="0" collapsed="false">
      <c r="C256" s="26"/>
      <c r="E256" s="26"/>
      <c r="H256" s="2"/>
      <c r="I256" s="26"/>
      <c r="J256" s="26"/>
      <c r="K256" s="26"/>
      <c r="O256" s="26"/>
      <c r="P256" s="26"/>
      <c r="Q256" s="26"/>
      <c r="R256" s="26"/>
      <c r="S256" s="26"/>
      <c r="T256" s="26"/>
      <c r="U256" s="26"/>
      <c r="W256" s="27"/>
      <c r="AE256" s="26"/>
      <c r="AF256" s="26"/>
      <c r="AG256" s="26"/>
      <c r="AH256" s="26"/>
      <c r="AI256" s="26"/>
      <c r="AJ256" s="26"/>
      <c r="AKX256" s="0"/>
      <c r="AKY256" s="0"/>
      <c r="AKZ256" s="0"/>
      <c r="ALA256" s="0"/>
      <c r="ALB256" s="0"/>
      <c r="ALC256" s="0"/>
      <c r="ALD256" s="0"/>
      <c r="ALE256" s="0"/>
      <c r="ALF256" s="0"/>
      <c r="ALG256" s="0"/>
      <c r="ALH256" s="0"/>
      <c r="ALI256" s="0"/>
      <c r="ALJ256" s="0"/>
      <c r="ALK256" s="0"/>
      <c r="ALL256" s="0"/>
      <c r="ALM256" s="0"/>
      <c r="ALN256" s="0"/>
      <c r="ALO256" s="0"/>
      <c r="ALP256" s="0"/>
      <c r="ALQ256" s="0"/>
      <c r="ALR256" s="0"/>
      <c r="ALS256" s="0"/>
      <c r="ALT256" s="0"/>
      <c r="ALU256" s="0"/>
      <c r="ALV256" s="0"/>
      <c r="ALW256" s="0"/>
      <c r="ALX256" s="0"/>
      <c r="ALY256" s="0"/>
      <c r="ALZ256" s="0"/>
      <c r="AMA256" s="0"/>
      <c r="AMB256" s="0"/>
      <c r="AMC256" s="0"/>
      <c r="AMD256" s="0"/>
      <c r="AME256" s="0"/>
      <c r="AMF256" s="0"/>
      <c r="AMG256" s="0"/>
      <c r="AMH256" s="0"/>
      <c r="AMI256" s="0"/>
      <c r="AMJ256" s="0"/>
    </row>
    <row r="257" s="14" customFormat="true" ht="12.8" hidden="false" customHeight="false" outlineLevel="0" collapsed="false">
      <c r="C257" s="26"/>
      <c r="E257" s="26"/>
      <c r="H257" s="2"/>
      <c r="I257" s="26"/>
      <c r="J257" s="26"/>
      <c r="K257" s="26"/>
      <c r="O257" s="26"/>
      <c r="P257" s="26"/>
      <c r="Q257" s="26"/>
      <c r="R257" s="26"/>
      <c r="S257" s="26"/>
      <c r="T257" s="26"/>
      <c r="U257" s="26"/>
      <c r="W257" s="27"/>
      <c r="AE257" s="26"/>
      <c r="AF257" s="26"/>
      <c r="AG257" s="26"/>
      <c r="AH257" s="26"/>
      <c r="AI257" s="26"/>
      <c r="AJ257" s="26"/>
      <c r="AKX257" s="0"/>
      <c r="AKY257" s="0"/>
      <c r="AKZ257" s="0"/>
      <c r="ALA257" s="0"/>
      <c r="ALB257" s="0"/>
      <c r="ALC257" s="0"/>
      <c r="ALD257" s="0"/>
      <c r="ALE257" s="0"/>
      <c r="ALF257" s="0"/>
      <c r="ALG257" s="0"/>
      <c r="ALH257" s="0"/>
      <c r="ALI257" s="0"/>
      <c r="ALJ257" s="0"/>
      <c r="ALK257" s="0"/>
      <c r="ALL257" s="0"/>
      <c r="ALM257" s="0"/>
      <c r="ALN257" s="0"/>
      <c r="ALO257" s="0"/>
      <c r="ALP257" s="0"/>
      <c r="ALQ257" s="0"/>
      <c r="ALR257" s="0"/>
      <c r="ALS257" s="0"/>
      <c r="ALT257" s="0"/>
      <c r="ALU257" s="0"/>
      <c r="ALV257" s="0"/>
      <c r="ALW257" s="0"/>
      <c r="ALX257" s="0"/>
      <c r="ALY257" s="0"/>
      <c r="ALZ257" s="0"/>
      <c r="AMA257" s="0"/>
      <c r="AMB257" s="0"/>
      <c r="AMC257" s="0"/>
      <c r="AMD257" s="0"/>
      <c r="AME257" s="0"/>
      <c r="AMF257" s="0"/>
      <c r="AMG257" s="0"/>
      <c r="AMH257" s="0"/>
      <c r="AMI257" s="0"/>
      <c r="AMJ257" s="0"/>
    </row>
    <row r="258" s="14" customFormat="true" ht="12.8" hidden="false" customHeight="false" outlineLevel="0" collapsed="false">
      <c r="C258" s="26"/>
      <c r="E258" s="26"/>
      <c r="H258" s="2"/>
      <c r="I258" s="26"/>
      <c r="J258" s="26"/>
      <c r="K258" s="26"/>
      <c r="O258" s="26"/>
      <c r="P258" s="26"/>
      <c r="Q258" s="26"/>
      <c r="R258" s="26"/>
      <c r="S258" s="26"/>
      <c r="T258" s="26"/>
      <c r="U258" s="26"/>
      <c r="W258" s="27"/>
      <c r="AE258" s="26"/>
      <c r="AF258" s="26"/>
      <c r="AG258" s="26"/>
      <c r="AH258" s="26"/>
      <c r="AI258" s="26"/>
      <c r="AJ258" s="26"/>
      <c r="AKX258" s="0"/>
      <c r="AKY258" s="0"/>
      <c r="AKZ258" s="0"/>
      <c r="ALA258" s="0"/>
      <c r="ALB258" s="0"/>
      <c r="ALC258" s="0"/>
      <c r="ALD258" s="0"/>
      <c r="ALE258" s="0"/>
      <c r="ALF258" s="0"/>
      <c r="ALG258" s="0"/>
      <c r="ALH258" s="0"/>
      <c r="ALI258" s="0"/>
      <c r="ALJ258" s="0"/>
      <c r="ALK258" s="0"/>
      <c r="ALL258" s="0"/>
      <c r="ALM258" s="0"/>
      <c r="ALN258" s="0"/>
      <c r="ALO258" s="0"/>
      <c r="ALP258" s="0"/>
      <c r="ALQ258" s="0"/>
      <c r="ALR258" s="0"/>
      <c r="ALS258" s="0"/>
      <c r="ALT258" s="0"/>
      <c r="ALU258" s="0"/>
      <c r="ALV258" s="0"/>
      <c r="ALW258" s="0"/>
      <c r="ALX258" s="0"/>
      <c r="ALY258" s="0"/>
      <c r="ALZ258" s="0"/>
      <c r="AMA258" s="0"/>
      <c r="AMB258" s="0"/>
      <c r="AMC258" s="0"/>
      <c r="AMD258" s="0"/>
      <c r="AME258" s="0"/>
      <c r="AMF258" s="0"/>
      <c r="AMG258" s="0"/>
      <c r="AMH258" s="0"/>
      <c r="AMI258" s="0"/>
      <c r="AMJ258" s="0"/>
    </row>
    <row r="259" s="14" customFormat="true" ht="12.8" hidden="false" customHeight="false" outlineLevel="0" collapsed="false">
      <c r="C259" s="26"/>
      <c r="E259" s="26"/>
      <c r="H259" s="2"/>
      <c r="I259" s="26"/>
      <c r="J259" s="26"/>
      <c r="K259" s="26"/>
      <c r="O259" s="26"/>
      <c r="P259" s="26"/>
      <c r="Q259" s="26"/>
      <c r="R259" s="26"/>
      <c r="S259" s="26"/>
      <c r="T259" s="26"/>
      <c r="U259" s="26"/>
      <c r="W259" s="27"/>
      <c r="AE259" s="26"/>
      <c r="AF259" s="26"/>
      <c r="AG259" s="26"/>
      <c r="AH259" s="26"/>
      <c r="AI259" s="26"/>
      <c r="AJ259" s="26"/>
      <c r="AKX259" s="0"/>
      <c r="AKY259" s="0"/>
      <c r="AKZ259" s="0"/>
      <c r="ALA259" s="0"/>
      <c r="ALB259" s="0"/>
      <c r="ALC259" s="0"/>
      <c r="ALD259" s="0"/>
      <c r="ALE259" s="0"/>
      <c r="ALF259" s="0"/>
      <c r="ALG259" s="0"/>
      <c r="ALH259" s="0"/>
      <c r="ALI259" s="0"/>
      <c r="ALJ259" s="0"/>
      <c r="ALK259" s="0"/>
      <c r="ALL259" s="0"/>
      <c r="ALM259" s="0"/>
      <c r="ALN259" s="0"/>
      <c r="ALO259" s="0"/>
      <c r="ALP259" s="0"/>
      <c r="ALQ259" s="0"/>
      <c r="ALR259" s="0"/>
      <c r="ALS259" s="0"/>
      <c r="ALT259" s="0"/>
      <c r="ALU259" s="0"/>
      <c r="ALV259" s="0"/>
      <c r="ALW259" s="0"/>
      <c r="ALX259" s="0"/>
      <c r="ALY259" s="0"/>
      <c r="ALZ259" s="0"/>
      <c r="AMA259" s="0"/>
      <c r="AMB259" s="0"/>
      <c r="AMC259" s="0"/>
      <c r="AMD259" s="0"/>
      <c r="AME259" s="0"/>
      <c r="AMF259" s="0"/>
      <c r="AMG259" s="0"/>
      <c r="AMH259" s="0"/>
      <c r="AMI259" s="0"/>
      <c r="AMJ259" s="0"/>
    </row>
    <row r="260" s="14" customFormat="true" ht="12.8" hidden="false" customHeight="false" outlineLevel="0" collapsed="false">
      <c r="C260" s="26"/>
      <c r="E260" s="26"/>
      <c r="H260" s="2"/>
      <c r="I260" s="26"/>
      <c r="J260" s="26"/>
      <c r="K260" s="26"/>
      <c r="O260" s="26"/>
      <c r="P260" s="26"/>
      <c r="Q260" s="26"/>
      <c r="R260" s="26"/>
      <c r="S260" s="26"/>
      <c r="T260" s="26"/>
      <c r="U260" s="26"/>
      <c r="W260" s="27"/>
      <c r="AE260" s="26"/>
      <c r="AF260" s="26"/>
      <c r="AG260" s="26"/>
      <c r="AH260" s="26"/>
      <c r="AI260" s="26"/>
      <c r="AJ260" s="26"/>
      <c r="AKX260" s="0"/>
      <c r="AKY260" s="0"/>
      <c r="AKZ260" s="0"/>
      <c r="ALA260" s="0"/>
      <c r="ALB260" s="0"/>
      <c r="ALC260" s="0"/>
      <c r="ALD260" s="0"/>
      <c r="ALE260" s="0"/>
      <c r="ALF260" s="0"/>
      <c r="ALG260" s="0"/>
      <c r="ALH260" s="0"/>
      <c r="ALI260" s="0"/>
      <c r="ALJ260" s="0"/>
      <c r="ALK260" s="0"/>
      <c r="ALL260" s="0"/>
      <c r="ALM260" s="0"/>
      <c r="ALN260" s="0"/>
      <c r="ALO260" s="0"/>
      <c r="ALP260" s="0"/>
      <c r="ALQ260" s="0"/>
      <c r="ALR260" s="0"/>
      <c r="ALS260" s="0"/>
      <c r="ALT260" s="0"/>
      <c r="ALU260" s="0"/>
      <c r="ALV260" s="0"/>
      <c r="ALW260" s="0"/>
      <c r="ALX260" s="0"/>
      <c r="ALY260" s="0"/>
      <c r="ALZ260" s="0"/>
      <c r="AMA260" s="0"/>
      <c r="AMB260" s="0"/>
      <c r="AMC260" s="0"/>
      <c r="AMD260" s="0"/>
      <c r="AME260" s="0"/>
      <c r="AMF260" s="0"/>
      <c r="AMG260" s="0"/>
      <c r="AMH260" s="0"/>
      <c r="AMI260" s="0"/>
      <c r="AMJ260" s="0"/>
    </row>
    <row r="261" s="14" customFormat="true" ht="12.8" hidden="false" customHeight="false" outlineLevel="0" collapsed="false">
      <c r="C261" s="26"/>
      <c r="E261" s="26"/>
      <c r="H261" s="2"/>
      <c r="I261" s="26"/>
      <c r="J261" s="26"/>
      <c r="K261" s="26"/>
      <c r="O261" s="26"/>
      <c r="P261" s="26"/>
      <c r="Q261" s="26"/>
      <c r="R261" s="26"/>
      <c r="S261" s="26"/>
      <c r="T261" s="26"/>
      <c r="U261" s="26"/>
      <c r="W261" s="27"/>
      <c r="AE261" s="26"/>
      <c r="AF261" s="26"/>
      <c r="AG261" s="26"/>
      <c r="AH261" s="26"/>
      <c r="AI261" s="26"/>
      <c r="AJ261" s="26"/>
      <c r="AKX261" s="0"/>
      <c r="AKY261" s="0"/>
      <c r="AKZ261" s="0"/>
      <c r="ALA261" s="0"/>
      <c r="ALB261" s="0"/>
      <c r="ALC261" s="0"/>
      <c r="ALD261" s="0"/>
      <c r="ALE261" s="0"/>
      <c r="ALF261" s="0"/>
      <c r="ALG261" s="0"/>
      <c r="ALH261" s="0"/>
      <c r="ALI261" s="0"/>
      <c r="ALJ261" s="0"/>
      <c r="ALK261" s="0"/>
      <c r="ALL261" s="0"/>
      <c r="ALM261" s="0"/>
      <c r="ALN261" s="0"/>
      <c r="ALO261" s="0"/>
      <c r="ALP261" s="0"/>
      <c r="ALQ261" s="0"/>
      <c r="ALR261" s="0"/>
      <c r="ALS261" s="0"/>
      <c r="ALT261" s="0"/>
      <c r="ALU261" s="0"/>
      <c r="ALV261" s="0"/>
      <c r="ALW261" s="0"/>
      <c r="ALX261" s="0"/>
      <c r="ALY261" s="0"/>
      <c r="ALZ261" s="0"/>
      <c r="AMA261" s="0"/>
      <c r="AMB261" s="0"/>
      <c r="AMC261" s="0"/>
      <c r="AMD261" s="0"/>
      <c r="AME261" s="0"/>
      <c r="AMF261" s="0"/>
      <c r="AMG261" s="0"/>
      <c r="AMH261" s="0"/>
      <c r="AMI261" s="0"/>
      <c r="AMJ261" s="0"/>
    </row>
    <row r="262" s="14" customFormat="true" ht="12.8" hidden="false" customHeight="false" outlineLevel="0" collapsed="false">
      <c r="C262" s="26"/>
      <c r="E262" s="26"/>
      <c r="H262" s="2"/>
      <c r="I262" s="26"/>
      <c r="J262" s="26"/>
      <c r="K262" s="26"/>
      <c r="O262" s="26"/>
      <c r="P262" s="26"/>
      <c r="Q262" s="26"/>
      <c r="R262" s="26"/>
      <c r="S262" s="26"/>
      <c r="T262" s="26"/>
      <c r="U262" s="26"/>
      <c r="W262" s="27"/>
      <c r="AE262" s="26"/>
      <c r="AF262" s="26"/>
      <c r="AG262" s="26"/>
      <c r="AH262" s="26"/>
      <c r="AI262" s="26"/>
      <c r="AJ262" s="26"/>
      <c r="AKX262" s="0"/>
      <c r="AKY262" s="0"/>
      <c r="AKZ262" s="0"/>
      <c r="ALA262" s="0"/>
      <c r="ALB262" s="0"/>
      <c r="ALC262" s="0"/>
      <c r="ALD262" s="0"/>
      <c r="ALE262" s="0"/>
      <c r="ALF262" s="0"/>
      <c r="ALG262" s="0"/>
      <c r="ALH262" s="0"/>
      <c r="ALI262" s="0"/>
      <c r="ALJ262" s="0"/>
      <c r="ALK262" s="0"/>
      <c r="ALL262" s="0"/>
      <c r="ALM262" s="0"/>
      <c r="ALN262" s="0"/>
      <c r="ALO262" s="0"/>
      <c r="ALP262" s="0"/>
      <c r="ALQ262" s="0"/>
      <c r="ALR262" s="0"/>
      <c r="ALS262" s="0"/>
      <c r="ALT262" s="0"/>
      <c r="ALU262" s="0"/>
      <c r="ALV262" s="0"/>
      <c r="ALW262" s="0"/>
      <c r="ALX262" s="0"/>
      <c r="ALY262" s="0"/>
      <c r="ALZ262" s="0"/>
      <c r="AMA262" s="0"/>
      <c r="AMB262" s="0"/>
      <c r="AMC262" s="0"/>
      <c r="AMD262" s="0"/>
      <c r="AME262" s="0"/>
      <c r="AMF262" s="0"/>
      <c r="AMG262" s="0"/>
      <c r="AMH262" s="0"/>
      <c r="AMI262" s="0"/>
      <c r="AMJ262" s="0"/>
    </row>
    <row r="263" s="14" customFormat="true" ht="12.8" hidden="false" customHeight="false" outlineLevel="0" collapsed="false">
      <c r="C263" s="26"/>
      <c r="E263" s="26"/>
      <c r="H263" s="2"/>
      <c r="I263" s="26"/>
      <c r="J263" s="26"/>
      <c r="K263" s="26"/>
      <c r="O263" s="26"/>
      <c r="P263" s="26"/>
      <c r="Q263" s="26"/>
      <c r="R263" s="26"/>
      <c r="S263" s="26"/>
      <c r="T263" s="26"/>
      <c r="U263" s="26"/>
      <c r="W263" s="27"/>
      <c r="AE263" s="26"/>
      <c r="AF263" s="26"/>
      <c r="AG263" s="26"/>
      <c r="AH263" s="26"/>
      <c r="AI263" s="26"/>
      <c r="AJ263" s="26"/>
      <c r="AKX263" s="0"/>
      <c r="AKY263" s="0"/>
      <c r="AKZ263" s="0"/>
      <c r="ALA263" s="0"/>
      <c r="ALB263" s="0"/>
      <c r="ALC263" s="0"/>
      <c r="ALD263" s="0"/>
      <c r="ALE263" s="0"/>
      <c r="ALF263" s="0"/>
      <c r="ALG263" s="0"/>
      <c r="ALH263" s="0"/>
      <c r="ALI263" s="0"/>
      <c r="ALJ263" s="0"/>
      <c r="ALK263" s="0"/>
      <c r="ALL263" s="0"/>
      <c r="ALM263" s="0"/>
      <c r="ALN263" s="0"/>
      <c r="ALO263" s="0"/>
      <c r="ALP263" s="0"/>
      <c r="ALQ263" s="0"/>
      <c r="ALR263" s="0"/>
      <c r="ALS263" s="0"/>
      <c r="ALT263" s="0"/>
      <c r="ALU263" s="0"/>
      <c r="ALV263" s="0"/>
      <c r="ALW263" s="0"/>
      <c r="ALX263" s="0"/>
      <c r="ALY263" s="0"/>
      <c r="ALZ263" s="0"/>
      <c r="AMA263" s="0"/>
      <c r="AMB263" s="0"/>
      <c r="AMC263" s="0"/>
      <c r="AMD263" s="0"/>
      <c r="AME263" s="0"/>
      <c r="AMF263" s="0"/>
      <c r="AMG263" s="0"/>
      <c r="AMH263" s="0"/>
      <c r="AMI263" s="0"/>
      <c r="AMJ263" s="0"/>
    </row>
    <row r="264" s="14" customFormat="true" ht="12.8" hidden="false" customHeight="false" outlineLevel="0" collapsed="false">
      <c r="C264" s="26"/>
      <c r="E264" s="26"/>
      <c r="H264" s="2"/>
      <c r="I264" s="26"/>
      <c r="J264" s="26"/>
      <c r="K264" s="26"/>
      <c r="O264" s="26"/>
      <c r="P264" s="26"/>
      <c r="Q264" s="26"/>
      <c r="R264" s="26"/>
      <c r="S264" s="26"/>
      <c r="T264" s="26"/>
      <c r="U264" s="26"/>
      <c r="W264" s="27"/>
      <c r="AE264" s="26"/>
      <c r="AF264" s="26"/>
      <c r="AG264" s="26"/>
      <c r="AH264" s="26"/>
      <c r="AI264" s="26"/>
      <c r="AJ264" s="26"/>
      <c r="AKX264" s="0"/>
      <c r="AKY264" s="0"/>
      <c r="AKZ264" s="0"/>
      <c r="ALA264" s="0"/>
      <c r="ALB264" s="0"/>
      <c r="ALC264" s="0"/>
      <c r="ALD264" s="0"/>
      <c r="ALE264" s="0"/>
      <c r="ALF264" s="0"/>
      <c r="ALG264" s="0"/>
      <c r="ALH264" s="0"/>
      <c r="ALI264" s="0"/>
      <c r="ALJ264" s="0"/>
      <c r="ALK264" s="0"/>
      <c r="ALL264" s="0"/>
      <c r="ALM264" s="0"/>
      <c r="ALN264" s="0"/>
      <c r="ALO264" s="0"/>
      <c r="ALP264" s="0"/>
      <c r="ALQ264" s="0"/>
      <c r="ALR264" s="0"/>
      <c r="ALS264" s="0"/>
      <c r="ALT264" s="0"/>
      <c r="ALU264" s="0"/>
      <c r="ALV264" s="0"/>
      <c r="ALW264" s="0"/>
      <c r="ALX264" s="0"/>
      <c r="ALY264" s="0"/>
      <c r="ALZ264" s="0"/>
      <c r="AMA264" s="0"/>
      <c r="AMB264" s="0"/>
      <c r="AMC264" s="0"/>
      <c r="AMD264" s="0"/>
      <c r="AME264" s="0"/>
      <c r="AMF264" s="0"/>
      <c r="AMG264" s="0"/>
      <c r="AMH264" s="0"/>
      <c r="AMI264" s="0"/>
      <c r="AMJ264" s="0"/>
    </row>
    <row r="265" s="14" customFormat="true" ht="12.8" hidden="false" customHeight="false" outlineLevel="0" collapsed="false">
      <c r="C265" s="26"/>
      <c r="E265" s="26"/>
      <c r="H265" s="2"/>
      <c r="I265" s="26"/>
      <c r="J265" s="26"/>
      <c r="K265" s="26"/>
      <c r="O265" s="26"/>
      <c r="P265" s="26"/>
      <c r="Q265" s="26"/>
      <c r="R265" s="26"/>
      <c r="S265" s="26"/>
      <c r="T265" s="26"/>
      <c r="U265" s="26"/>
      <c r="W265" s="27"/>
      <c r="AE265" s="26"/>
      <c r="AF265" s="26"/>
      <c r="AG265" s="26"/>
      <c r="AH265" s="26"/>
      <c r="AI265" s="26"/>
      <c r="AJ265" s="26"/>
      <c r="AKX265" s="0"/>
      <c r="AKY265" s="0"/>
      <c r="AKZ265" s="0"/>
      <c r="ALA265" s="0"/>
      <c r="ALB265" s="0"/>
      <c r="ALC265" s="0"/>
      <c r="ALD265" s="0"/>
      <c r="ALE265" s="0"/>
      <c r="ALF265" s="0"/>
      <c r="ALG265" s="0"/>
      <c r="ALH265" s="0"/>
      <c r="ALI265" s="0"/>
      <c r="ALJ265" s="0"/>
      <c r="ALK265" s="0"/>
      <c r="ALL265" s="0"/>
      <c r="ALM265" s="0"/>
      <c r="ALN265" s="0"/>
      <c r="ALO265" s="0"/>
      <c r="ALP265" s="0"/>
      <c r="ALQ265" s="0"/>
      <c r="ALR265" s="0"/>
      <c r="ALS265" s="0"/>
      <c r="ALT265" s="0"/>
      <c r="ALU265" s="0"/>
      <c r="ALV265" s="0"/>
      <c r="ALW265" s="0"/>
      <c r="ALX265" s="0"/>
      <c r="ALY265" s="0"/>
      <c r="ALZ265" s="0"/>
      <c r="AMA265" s="0"/>
      <c r="AMB265" s="0"/>
      <c r="AMC265" s="0"/>
      <c r="AMD265" s="0"/>
      <c r="AME265" s="0"/>
      <c r="AMF265" s="0"/>
      <c r="AMG265" s="0"/>
      <c r="AMH265" s="0"/>
      <c r="AMI265" s="0"/>
      <c r="AMJ265" s="0"/>
    </row>
    <row r="266" s="14" customFormat="true" ht="12.8" hidden="false" customHeight="false" outlineLevel="0" collapsed="false">
      <c r="C266" s="26"/>
      <c r="E266" s="26"/>
      <c r="H266" s="2"/>
      <c r="I266" s="26"/>
      <c r="J266" s="26"/>
      <c r="K266" s="26"/>
      <c r="O266" s="26"/>
      <c r="P266" s="26"/>
      <c r="Q266" s="26"/>
      <c r="R266" s="26"/>
      <c r="S266" s="26"/>
      <c r="T266" s="26"/>
      <c r="U266" s="26"/>
      <c r="W266" s="27"/>
      <c r="AE266" s="26"/>
      <c r="AF266" s="26"/>
      <c r="AG266" s="26"/>
      <c r="AH266" s="26"/>
      <c r="AI266" s="26"/>
      <c r="AJ266" s="26"/>
      <c r="AKX266" s="0"/>
      <c r="AKY266" s="0"/>
      <c r="AKZ266" s="0"/>
      <c r="ALA266" s="0"/>
      <c r="ALB266" s="0"/>
      <c r="ALC266" s="0"/>
      <c r="ALD266" s="0"/>
      <c r="ALE266" s="0"/>
      <c r="ALF266" s="0"/>
      <c r="ALG266" s="0"/>
      <c r="ALH266" s="0"/>
      <c r="ALI266" s="0"/>
      <c r="ALJ266" s="0"/>
      <c r="ALK266" s="0"/>
      <c r="ALL266" s="0"/>
      <c r="ALM266" s="0"/>
      <c r="ALN266" s="0"/>
      <c r="ALO266" s="0"/>
      <c r="ALP266" s="0"/>
      <c r="ALQ266" s="0"/>
      <c r="ALR266" s="0"/>
      <c r="ALS266" s="0"/>
      <c r="ALT266" s="0"/>
      <c r="ALU266" s="0"/>
      <c r="ALV266" s="0"/>
      <c r="ALW266" s="0"/>
      <c r="ALX266" s="0"/>
      <c r="ALY266" s="0"/>
      <c r="ALZ266" s="0"/>
      <c r="AMA266" s="0"/>
      <c r="AMB266" s="0"/>
      <c r="AMC266" s="0"/>
      <c r="AMD266" s="0"/>
      <c r="AME266" s="0"/>
      <c r="AMF266" s="0"/>
      <c r="AMG266" s="0"/>
      <c r="AMH266" s="0"/>
      <c r="AMI266" s="0"/>
      <c r="AMJ266" s="0"/>
    </row>
    <row r="267" s="14" customFormat="true" ht="12.8" hidden="false" customHeight="false" outlineLevel="0" collapsed="false">
      <c r="C267" s="26"/>
      <c r="E267" s="26"/>
      <c r="H267" s="2"/>
      <c r="I267" s="26"/>
      <c r="J267" s="26"/>
      <c r="K267" s="26"/>
      <c r="O267" s="26"/>
      <c r="P267" s="26"/>
      <c r="Q267" s="26"/>
      <c r="R267" s="26"/>
      <c r="S267" s="26"/>
      <c r="T267" s="26"/>
      <c r="U267" s="26"/>
      <c r="W267" s="27"/>
      <c r="AE267" s="26"/>
      <c r="AF267" s="26"/>
      <c r="AG267" s="26"/>
      <c r="AH267" s="26"/>
      <c r="AI267" s="26"/>
      <c r="AJ267" s="26"/>
      <c r="AKX267" s="0"/>
      <c r="AKY267" s="0"/>
      <c r="AKZ267" s="0"/>
      <c r="ALA267" s="0"/>
      <c r="ALB267" s="0"/>
      <c r="ALC267" s="0"/>
      <c r="ALD267" s="0"/>
      <c r="ALE267" s="0"/>
      <c r="ALF267" s="0"/>
      <c r="ALG267" s="0"/>
      <c r="ALH267" s="0"/>
      <c r="ALI267" s="0"/>
      <c r="ALJ267" s="0"/>
      <c r="ALK267" s="0"/>
      <c r="ALL267" s="0"/>
      <c r="ALM267" s="0"/>
      <c r="ALN267" s="0"/>
      <c r="ALO267" s="0"/>
      <c r="ALP267" s="0"/>
      <c r="ALQ267" s="0"/>
      <c r="ALR267" s="0"/>
      <c r="ALS267" s="0"/>
      <c r="ALT267" s="0"/>
      <c r="ALU267" s="0"/>
      <c r="ALV267" s="0"/>
      <c r="ALW267" s="0"/>
      <c r="ALX267" s="0"/>
      <c r="ALY267" s="0"/>
      <c r="ALZ267" s="0"/>
      <c r="AMA267" s="0"/>
      <c r="AMB267" s="0"/>
      <c r="AMC267" s="0"/>
      <c r="AMD267" s="0"/>
      <c r="AME267" s="0"/>
      <c r="AMF267" s="0"/>
      <c r="AMG267" s="0"/>
      <c r="AMH267" s="0"/>
      <c r="AMI267" s="0"/>
      <c r="AMJ267" s="0"/>
    </row>
    <row r="268" s="14" customFormat="true" ht="12.8" hidden="false" customHeight="false" outlineLevel="0" collapsed="false">
      <c r="C268" s="26"/>
      <c r="E268" s="26"/>
      <c r="H268" s="2"/>
      <c r="I268" s="26"/>
      <c r="J268" s="26"/>
      <c r="K268" s="26"/>
      <c r="O268" s="26"/>
      <c r="P268" s="26"/>
      <c r="Q268" s="26"/>
      <c r="R268" s="26"/>
      <c r="S268" s="26"/>
      <c r="T268" s="26"/>
      <c r="U268" s="26"/>
      <c r="W268" s="27"/>
      <c r="AE268" s="26"/>
      <c r="AF268" s="26"/>
      <c r="AG268" s="26"/>
      <c r="AH268" s="26"/>
      <c r="AI268" s="26"/>
      <c r="AJ268" s="26"/>
      <c r="AKX268" s="0"/>
      <c r="AKY268" s="0"/>
      <c r="AKZ268" s="0"/>
      <c r="ALA268" s="0"/>
      <c r="ALB268" s="0"/>
      <c r="ALC268" s="0"/>
      <c r="ALD268" s="0"/>
      <c r="ALE268" s="0"/>
      <c r="ALF268" s="0"/>
      <c r="ALG268" s="0"/>
      <c r="ALH268" s="0"/>
      <c r="ALI268" s="0"/>
      <c r="ALJ268" s="0"/>
      <c r="ALK268" s="0"/>
      <c r="ALL268" s="0"/>
      <c r="ALM268" s="0"/>
      <c r="ALN268" s="0"/>
      <c r="ALO268" s="0"/>
      <c r="ALP268" s="0"/>
      <c r="ALQ268" s="0"/>
      <c r="ALR268" s="0"/>
      <c r="ALS268" s="0"/>
      <c r="ALT268" s="0"/>
      <c r="ALU268" s="0"/>
      <c r="ALV268" s="0"/>
      <c r="ALW268" s="0"/>
      <c r="ALX268" s="0"/>
      <c r="ALY268" s="0"/>
      <c r="ALZ268" s="0"/>
      <c r="AMA268" s="0"/>
      <c r="AMB268" s="0"/>
      <c r="AMC268" s="0"/>
      <c r="AMD268" s="0"/>
      <c r="AME268" s="0"/>
      <c r="AMF268" s="0"/>
      <c r="AMG268" s="0"/>
      <c r="AMH268" s="0"/>
      <c r="AMI268" s="0"/>
      <c r="AMJ268" s="0"/>
    </row>
    <row r="269" s="14" customFormat="true" ht="12.8" hidden="false" customHeight="false" outlineLevel="0" collapsed="false">
      <c r="C269" s="26"/>
      <c r="E269" s="26"/>
      <c r="H269" s="2"/>
      <c r="I269" s="26"/>
      <c r="J269" s="26"/>
      <c r="K269" s="26"/>
      <c r="O269" s="26"/>
      <c r="P269" s="26"/>
      <c r="Q269" s="26"/>
      <c r="R269" s="26"/>
      <c r="S269" s="26"/>
      <c r="T269" s="26"/>
      <c r="U269" s="26"/>
      <c r="W269" s="27"/>
      <c r="AE269" s="26"/>
      <c r="AF269" s="26"/>
      <c r="AG269" s="26"/>
      <c r="AH269" s="26"/>
      <c r="AI269" s="26"/>
      <c r="AJ269" s="26"/>
      <c r="AKX269" s="0"/>
      <c r="AKY269" s="0"/>
      <c r="AKZ269" s="0"/>
      <c r="ALA269" s="0"/>
      <c r="ALB269" s="0"/>
      <c r="ALC269" s="0"/>
      <c r="ALD269" s="0"/>
      <c r="ALE269" s="0"/>
      <c r="ALF269" s="0"/>
      <c r="ALG269" s="0"/>
      <c r="ALH269" s="0"/>
      <c r="ALI269" s="0"/>
      <c r="ALJ269" s="0"/>
      <c r="ALK269" s="0"/>
      <c r="ALL269" s="0"/>
      <c r="ALM269" s="0"/>
      <c r="ALN269" s="0"/>
      <c r="ALO269" s="0"/>
      <c r="ALP269" s="0"/>
      <c r="ALQ269" s="0"/>
      <c r="ALR269" s="0"/>
      <c r="ALS269" s="0"/>
      <c r="ALT269" s="0"/>
      <c r="ALU269" s="0"/>
      <c r="ALV269" s="0"/>
      <c r="ALW269" s="0"/>
      <c r="ALX269" s="0"/>
      <c r="ALY269" s="0"/>
      <c r="ALZ269" s="0"/>
      <c r="AMA269" s="0"/>
      <c r="AMB269" s="0"/>
      <c r="AMC269" s="0"/>
      <c r="AMD269" s="0"/>
      <c r="AME269" s="0"/>
      <c r="AMF269" s="0"/>
      <c r="AMG269" s="0"/>
      <c r="AMH269" s="0"/>
      <c r="AMI269" s="0"/>
      <c r="AMJ269" s="0"/>
    </row>
    <row r="270" s="14" customFormat="true" ht="12.8" hidden="false" customHeight="false" outlineLevel="0" collapsed="false">
      <c r="C270" s="26"/>
      <c r="E270" s="26"/>
      <c r="H270" s="2"/>
      <c r="I270" s="26"/>
      <c r="J270" s="26"/>
      <c r="K270" s="26"/>
      <c r="O270" s="26"/>
      <c r="P270" s="26"/>
      <c r="Q270" s="26"/>
      <c r="R270" s="26"/>
      <c r="S270" s="26"/>
      <c r="T270" s="26"/>
      <c r="U270" s="26"/>
      <c r="W270" s="27"/>
      <c r="AE270" s="26"/>
      <c r="AF270" s="26"/>
      <c r="AG270" s="26"/>
      <c r="AH270" s="26"/>
      <c r="AI270" s="26"/>
      <c r="AJ270" s="26"/>
      <c r="AKX270" s="0"/>
      <c r="AKY270" s="0"/>
      <c r="AKZ270" s="0"/>
      <c r="ALA270" s="0"/>
      <c r="ALB270" s="0"/>
      <c r="ALC270" s="0"/>
      <c r="ALD270" s="0"/>
      <c r="ALE270" s="0"/>
      <c r="ALF270" s="0"/>
      <c r="ALG270" s="0"/>
      <c r="ALH270" s="0"/>
      <c r="ALI270" s="0"/>
      <c r="ALJ270" s="0"/>
      <c r="ALK270" s="0"/>
      <c r="ALL270" s="0"/>
      <c r="ALM270" s="0"/>
      <c r="ALN270" s="0"/>
      <c r="ALO270" s="0"/>
      <c r="ALP270" s="0"/>
      <c r="ALQ270" s="0"/>
      <c r="ALR270" s="0"/>
      <c r="ALS270" s="0"/>
      <c r="ALT270" s="0"/>
      <c r="ALU270" s="0"/>
      <c r="ALV270" s="0"/>
      <c r="ALW270" s="0"/>
      <c r="ALX270" s="0"/>
      <c r="ALY270" s="0"/>
      <c r="ALZ270" s="0"/>
      <c r="AMA270" s="0"/>
      <c r="AMB270" s="0"/>
      <c r="AMC270" s="0"/>
      <c r="AMD270" s="0"/>
      <c r="AME270" s="0"/>
      <c r="AMF270" s="0"/>
      <c r="AMG270" s="0"/>
      <c r="AMH270" s="0"/>
      <c r="AMI270" s="0"/>
      <c r="AMJ270" s="0"/>
    </row>
    <row r="271" s="14" customFormat="true" ht="12.8" hidden="false" customHeight="false" outlineLevel="0" collapsed="false">
      <c r="C271" s="26"/>
      <c r="E271" s="26"/>
      <c r="H271" s="2"/>
      <c r="I271" s="26"/>
      <c r="J271" s="26"/>
      <c r="K271" s="26"/>
      <c r="O271" s="26"/>
      <c r="P271" s="26"/>
      <c r="Q271" s="26"/>
      <c r="R271" s="26"/>
      <c r="S271" s="26"/>
      <c r="T271" s="26"/>
      <c r="U271" s="26"/>
      <c r="W271" s="27"/>
      <c r="AE271" s="26"/>
      <c r="AF271" s="26"/>
      <c r="AG271" s="26"/>
      <c r="AH271" s="26"/>
      <c r="AI271" s="26"/>
      <c r="AJ271" s="26"/>
      <c r="AKX271" s="0"/>
      <c r="AKY271" s="0"/>
      <c r="AKZ271" s="0"/>
      <c r="ALA271" s="0"/>
      <c r="ALB271" s="0"/>
      <c r="ALC271" s="0"/>
      <c r="ALD271" s="0"/>
      <c r="ALE271" s="0"/>
      <c r="ALF271" s="0"/>
      <c r="ALG271" s="0"/>
      <c r="ALH271" s="0"/>
      <c r="ALI271" s="0"/>
      <c r="ALJ271" s="0"/>
      <c r="ALK271" s="0"/>
      <c r="ALL271" s="0"/>
      <c r="ALM271" s="0"/>
      <c r="ALN271" s="0"/>
      <c r="ALO271" s="0"/>
      <c r="ALP271" s="0"/>
      <c r="ALQ271" s="0"/>
      <c r="ALR271" s="0"/>
      <c r="ALS271" s="0"/>
      <c r="ALT271" s="0"/>
      <c r="ALU271" s="0"/>
      <c r="ALV271" s="0"/>
      <c r="ALW271" s="0"/>
      <c r="ALX271" s="0"/>
      <c r="ALY271" s="0"/>
      <c r="ALZ271" s="0"/>
      <c r="AMA271" s="0"/>
      <c r="AMB271" s="0"/>
      <c r="AMC271" s="0"/>
      <c r="AMD271" s="0"/>
      <c r="AME271" s="0"/>
      <c r="AMF271" s="0"/>
      <c r="AMG271" s="0"/>
      <c r="AMH271" s="0"/>
      <c r="AMI271" s="0"/>
      <c r="AMJ271" s="0"/>
    </row>
    <row r="272" s="14" customFormat="true" ht="12.8" hidden="false" customHeight="false" outlineLevel="0" collapsed="false">
      <c r="C272" s="26"/>
      <c r="E272" s="26"/>
      <c r="H272" s="2"/>
      <c r="I272" s="26"/>
      <c r="J272" s="26"/>
      <c r="K272" s="26"/>
      <c r="O272" s="26"/>
      <c r="P272" s="26"/>
      <c r="Q272" s="26"/>
      <c r="R272" s="26"/>
      <c r="S272" s="26"/>
      <c r="T272" s="26"/>
      <c r="U272" s="26"/>
      <c r="W272" s="27"/>
      <c r="AE272" s="26"/>
      <c r="AF272" s="26"/>
      <c r="AG272" s="26"/>
      <c r="AH272" s="26"/>
      <c r="AI272" s="26"/>
      <c r="AJ272" s="26"/>
      <c r="AKX272" s="0"/>
      <c r="AKY272" s="0"/>
      <c r="AKZ272" s="0"/>
      <c r="ALA272" s="0"/>
      <c r="ALB272" s="0"/>
      <c r="ALC272" s="0"/>
      <c r="ALD272" s="0"/>
      <c r="ALE272" s="0"/>
      <c r="ALF272" s="0"/>
      <c r="ALG272" s="0"/>
      <c r="ALH272" s="0"/>
      <c r="ALI272" s="0"/>
      <c r="ALJ272" s="0"/>
      <c r="ALK272" s="0"/>
      <c r="ALL272" s="0"/>
      <c r="ALM272" s="0"/>
      <c r="ALN272" s="0"/>
      <c r="ALO272" s="0"/>
      <c r="ALP272" s="0"/>
      <c r="ALQ272" s="0"/>
      <c r="ALR272" s="0"/>
      <c r="ALS272" s="0"/>
      <c r="ALT272" s="0"/>
      <c r="ALU272" s="0"/>
      <c r="ALV272" s="0"/>
      <c r="ALW272" s="0"/>
      <c r="ALX272" s="0"/>
      <c r="ALY272" s="0"/>
      <c r="ALZ272" s="0"/>
      <c r="AMA272" s="0"/>
      <c r="AMB272" s="0"/>
      <c r="AMC272" s="0"/>
      <c r="AMD272" s="0"/>
      <c r="AME272" s="0"/>
      <c r="AMF272" s="0"/>
      <c r="AMG272" s="0"/>
      <c r="AMH272" s="0"/>
      <c r="AMI272" s="0"/>
      <c r="AMJ272" s="0"/>
    </row>
    <row r="273" s="14" customFormat="true" ht="12.8" hidden="false" customHeight="false" outlineLevel="0" collapsed="false">
      <c r="C273" s="26"/>
      <c r="E273" s="26"/>
      <c r="H273" s="2"/>
      <c r="I273" s="26"/>
      <c r="J273" s="26"/>
      <c r="K273" s="26"/>
      <c r="O273" s="26"/>
      <c r="P273" s="26"/>
      <c r="Q273" s="26"/>
      <c r="R273" s="26"/>
      <c r="S273" s="26"/>
      <c r="T273" s="26"/>
      <c r="U273" s="26"/>
      <c r="W273" s="27"/>
      <c r="AE273" s="26"/>
      <c r="AF273" s="26"/>
      <c r="AG273" s="26"/>
      <c r="AH273" s="26"/>
      <c r="AI273" s="26"/>
      <c r="AJ273" s="26"/>
      <c r="AKX273" s="0"/>
      <c r="AKY273" s="0"/>
      <c r="AKZ273" s="0"/>
      <c r="ALA273" s="0"/>
      <c r="ALB273" s="0"/>
      <c r="ALC273" s="0"/>
      <c r="ALD273" s="0"/>
      <c r="ALE273" s="0"/>
      <c r="ALF273" s="0"/>
      <c r="ALG273" s="0"/>
      <c r="ALH273" s="0"/>
      <c r="ALI273" s="0"/>
      <c r="ALJ273" s="0"/>
      <c r="ALK273" s="0"/>
      <c r="ALL273" s="0"/>
      <c r="ALM273" s="0"/>
      <c r="ALN273" s="0"/>
      <c r="ALO273" s="0"/>
      <c r="ALP273" s="0"/>
      <c r="ALQ273" s="0"/>
      <c r="ALR273" s="0"/>
      <c r="ALS273" s="0"/>
      <c r="ALT273" s="0"/>
      <c r="ALU273" s="0"/>
      <c r="ALV273" s="0"/>
      <c r="ALW273" s="0"/>
      <c r="ALX273" s="0"/>
      <c r="ALY273" s="0"/>
      <c r="ALZ273" s="0"/>
      <c r="AMA273" s="0"/>
      <c r="AMB273" s="0"/>
      <c r="AMC273" s="0"/>
      <c r="AMD273" s="0"/>
      <c r="AME273" s="0"/>
      <c r="AMF273" s="0"/>
      <c r="AMG273" s="0"/>
      <c r="AMH273" s="0"/>
      <c r="AMI273" s="0"/>
      <c r="AMJ273" s="0"/>
    </row>
    <row r="274" s="14" customFormat="true" ht="12.8" hidden="false" customHeight="false" outlineLevel="0" collapsed="false">
      <c r="C274" s="26"/>
      <c r="E274" s="26"/>
      <c r="H274" s="2"/>
      <c r="I274" s="26"/>
      <c r="J274" s="26"/>
      <c r="K274" s="26"/>
      <c r="O274" s="26"/>
      <c r="P274" s="26"/>
      <c r="Q274" s="26"/>
      <c r="R274" s="26"/>
      <c r="S274" s="26"/>
      <c r="T274" s="26"/>
      <c r="U274" s="26"/>
      <c r="W274" s="27"/>
      <c r="AE274" s="26"/>
      <c r="AF274" s="26"/>
      <c r="AG274" s="26"/>
      <c r="AH274" s="26"/>
      <c r="AI274" s="26"/>
      <c r="AJ274" s="26"/>
      <c r="AKX274" s="0"/>
      <c r="AKY274" s="0"/>
      <c r="AKZ274" s="0"/>
      <c r="ALA274" s="0"/>
      <c r="ALB274" s="0"/>
      <c r="ALC274" s="0"/>
      <c r="ALD274" s="0"/>
      <c r="ALE274" s="0"/>
      <c r="ALF274" s="0"/>
      <c r="ALG274" s="0"/>
      <c r="ALH274" s="0"/>
      <c r="ALI274" s="0"/>
      <c r="ALJ274" s="0"/>
      <c r="ALK274" s="0"/>
      <c r="ALL274" s="0"/>
      <c r="ALM274" s="0"/>
      <c r="ALN274" s="0"/>
      <c r="ALO274" s="0"/>
      <c r="ALP274" s="0"/>
      <c r="ALQ274" s="0"/>
      <c r="ALR274" s="0"/>
      <c r="ALS274" s="0"/>
      <c r="ALT274" s="0"/>
      <c r="ALU274" s="0"/>
      <c r="ALV274" s="0"/>
      <c r="ALW274" s="0"/>
      <c r="ALX274" s="0"/>
      <c r="ALY274" s="0"/>
      <c r="ALZ274" s="0"/>
      <c r="AMA274" s="0"/>
      <c r="AMB274" s="0"/>
      <c r="AMC274" s="0"/>
      <c r="AMD274" s="0"/>
      <c r="AME274" s="0"/>
      <c r="AMF274" s="0"/>
      <c r="AMG274" s="0"/>
      <c r="AMH274" s="0"/>
      <c r="AMI274" s="0"/>
      <c r="AMJ274" s="0"/>
    </row>
    <row r="275" s="14" customFormat="true" ht="12.8" hidden="false" customHeight="false" outlineLevel="0" collapsed="false">
      <c r="C275" s="26"/>
      <c r="E275" s="26"/>
      <c r="H275" s="2"/>
      <c r="I275" s="26"/>
      <c r="J275" s="26"/>
      <c r="K275" s="26"/>
      <c r="O275" s="26"/>
      <c r="P275" s="26"/>
      <c r="Q275" s="26"/>
      <c r="R275" s="26"/>
      <c r="S275" s="26"/>
      <c r="T275" s="26"/>
      <c r="U275" s="26"/>
      <c r="W275" s="27"/>
      <c r="AE275" s="26"/>
      <c r="AF275" s="26"/>
      <c r="AG275" s="26"/>
      <c r="AH275" s="26"/>
      <c r="AI275" s="26"/>
      <c r="AJ275" s="26"/>
      <c r="AKX275" s="0"/>
      <c r="AKY275" s="0"/>
      <c r="AKZ275" s="0"/>
      <c r="ALA275" s="0"/>
      <c r="ALB275" s="0"/>
      <c r="ALC275" s="0"/>
      <c r="ALD275" s="0"/>
      <c r="ALE275" s="0"/>
      <c r="ALF275" s="0"/>
      <c r="ALG275" s="0"/>
      <c r="ALH275" s="0"/>
      <c r="ALI275" s="0"/>
      <c r="ALJ275" s="0"/>
      <c r="ALK275" s="0"/>
      <c r="ALL275" s="0"/>
      <c r="ALM275" s="0"/>
      <c r="ALN275" s="0"/>
      <c r="ALO275" s="0"/>
      <c r="ALP275" s="0"/>
      <c r="ALQ275" s="0"/>
      <c r="ALR275" s="0"/>
      <c r="ALS275" s="0"/>
      <c r="ALT275" s="0"/>
      <c r="ALU275" s="0"/>
      <c r="ALV275" s="0"/>
      <c r="ALW275" s="0"/>
      <c r="ALX275" s="0"/>
      <c r="ALY275" s="0"/>
      <c r="ALZ275" s="0"/>
      <c r="AMA275" s="0"/>
      <c r="AMB275" s="0"/>
      <c r="AMC275" s="0"/>
      <c r="AMD275" s="0"/>
      <c r="AME275" s="0"/>
      <c r="AMF275" s="0"/>
      <c r="AMG275" s="0"/>
      <c r="AMH275" s="0"/>
      <c r="AMI275" s="0"/>
      <c r="AMJ275" s="0"/>
    </row>
    <row r="276" s="14" customFormat="true" ht="12.8" hidden="false" customHeight="false" outlineLevel="0" collapsed="false">
      <c r="C276" s="26"/>
      <c r="E276" s="26"/>
      <c r="H276" s="2"/>
      <c r="I276" s="26"/>
      <c r="J276" s="26"/>
      <c r="K276" s="26"/>
      <c r="O276" s="26"/>
      <c r="P276" s="26"/>
      <c r="Q276" s="26"/>
      <c r="R276" s="26"/>
      <c r="S276" s="26"/>
      <c r="T276" s="26"/>
      <c r="U276" s="26"/>
      <c r="W276" s="27"/>
      <c r="AE276" s="26"/>
      <c r="AF276" s="26"/>
      <c r="AG276" s="26"/>
      <c r="AH276" s="26"/>
      <c r="AI276" s="26"/>
      <c r="AJ276" s="26"/>
      <c r="AKX276" s="0"/>
      <c r="AKY276" s="0"/>
      <c r="AKZ276" s="0"/>
      <c r="ALA276" s="0"/>
      <c r="ALB276" s="0"/>
      <c r="ALC276" s="0"/>
      <c r="ALD276" s="0"/>
      <c r="ALE276" s="0"/>
      <c r="ALF276" s="0"/>
      <c r="ALG276" s="0"/>
      <c r="ALH276" s="0"/>
      <c r="ALI276" s="0"/>
      <c r="ALJ276" s="0"/>
      <c r="ALK276" s="0"/>
      <c r="ALL276" s="0"/>
      <c r="ALM276" s="0"/>
      <c r="ALN276" s="0"/>
      <c r="ALO276" s="0"/>
      <c r="ALP276" s="0"/>
      <c r="ALQ276" s="0"/>
      <c r="ALR276" s="0"/>
      <c r="ALS276" s="0"/>
      <c r="ALT276" s="0"/>
      <c r="ALU276" s="0"/>
      <c r="ALV276" s="0"/>
      <c r="ALW276" s="0"/>
      <c r="ALX276" s="0"/>
      <c r="ALY276" s="0"/>
      <c r="ALZ276" s="0"/>
      <c r="AMA276" s="0"/>
      <c r="AMB276" s="0"/>
      <c r="AMC276" s="0"/>
      <c r="AMD276" s="0"/>
      <c r="AME276" s="0"/>
      <c r="AMF276" s="0"/>
      <c r="AMG276" s="0"/>
      <c r="AMH276" s="0"/>
      <c r="AMI276" s="0"/>
      <c r="AMJ276" s="0"/>
    </row>
    <row r="277" s="14" customFormat="true" ht="12.8" hidden="false" customHeight="false" outlineLevel="0" collapsed="false">
      <c r="C277" s="26"/>
      <c r="E277" s="26"/>
      <c r="H277" s="2"/>
      <c r="I277" s="26"/>
      <c r="J277" s="26"/>
      <c r="K277" s="26"/>
      <c r="O277" s="26"/>
      <c r="P277" s="26"/>
      <c r="Q277" s="26"/>
      <c r="R277" s="26"/>
      <c r="S277" s="26"/>
      <c r="T277" s="26"/>
      <c r="U277" s="26"/>
      <c r="W277" s="27"/>
      <c r="AE277" s="26"/>
      <c r="AF277" s="26"/>
      <c r="AG277" s="26"/>
      <c r="AH277" s="26"/>
      <c r="AI277" s="26"/>
      <c r="AJ277" s="26"/>
      <c r="AKX277" s="0"/>
      <c r="AKY277" s="0"/>
      <c r="AKZ277" s="0"/>
      <c r="ALA277" s="0"/>
      <c r="ALB277" s="0"/>
      <c r="ALC277" s="0"/>
      <c r="ALD277" s="0"/>
      <c r="ALE277" s="0"/>
      <c r="ALF277" s="0"/>
      <c r="ALG277" s="0"/>
      <c r="ALH277" s="0"/>
      <c r="ALI277" s="0"/>
      <c r="ALJ277" s="0"/>
      <c r="ALK277" s="0"/>
      <c r="ALL277" s="0"/>
      <c r="ALM277" s="0"/>
      <c r="ALN277" s="0"/>
      <c r="ALO277" s="0"/>
      <c r="ALP277" s="0"/>
      <c r="ALQ277" s="0"/>
      <c r="ALR277" s="0"/>
      <c r="ALS277" s="0"/>
      <c r="ALT277" s="0"/>
      <c r="ALU277" s="0"/>
      <c r="ALV277" s="0"/>
      <c r="ALW277" s="0"/>
      <c r="ALX277" s="0"/>
      <c r="ALY277" s="0"/>
      <c r="ALZ277" s="0"/>
      <c r="AMA277" s="0"/>
      <c r="AMB277" s="0"/>
      <c r="AMC277" s="0"/>
      <c r="AMD277" s="0"/>
      <c r="AME277" s="0"/>
      <c r="AMF277" s="0"/>
      <c r="AMG277" s="0"/>
      <c r="AMH277" s="0"/>
      <c r="AMI277" s="0"/>
      <c r="AMJ277" s="0"/>
    </row>
    <row r="278" s="14" customFormat="true" ht="12.8" hidden="false" customHeight="false" outlineLevel="0" collapsed="false">
      <c r="C278" s="26"/>
      <c r="E278" s="26"/>
      <c r="H278" s="2"/>
      <c r="I278" s="26"/>
      <c r="J278" s="26"/>
      <c r="K278" s="26"/>
      <c r="O278" s="26"/>
      <c r="P278" s="26"/>
      <c r="Q278" s="26"/>
      <c r="R278" s="26"/>
      <c r="S278" s="26"/>
      <c r="T278" s="26"/>
      <c r="U278" s="26"/>
      <c r="W278" s="27"/>
      <c r="AE278" s="26"/>
      <c r="AF278" s="26"/>
      <c r="AG278" s="26"/>
      <c r="AH278" s="26"/>
      <c r="AI278" s="26"/>
      <c r="AJ278" s="26"/>
      <c r="AKX278" s="0"/>
      <c r="AKY278" s="0"/>
      <c r="AKZ278" s="0"/>
      <c r="ALA278" s="0"/>
      <c r="ALB278" s="0"/>
      <c r="ALC278" s="0"/>
      <c r="ALD278" s="0"/>
      <c r="ALE278" s="0"/>
      <c r="ALF278" s="0"/>
      <c r="ALG278" s="0"/>
      <c r="ALH278" s="0"/>
      <c r="ALI278" s="0"/>
      <c r="ALJ278" s="0"/>
      <c r="ALK278" s="0"/>
      <c r="ALL278" s="0"/>
      <c r="ALM278" s="0"/>
      <c r="ALN278" s="0"/>
      <c r="ALO278" s="0"/>
      <c r="ALP278" s="0"/>
      <c r="ALQ278" s="0"/>
      <c r="ALR278" s="0"/>
      <c r="ALS278" s="0"/>
      <c r="ALT278" s="0"/>
      <c r="ALU278" s="0"/>
      <c r="ALV278" s="0"/>
      <c r="ALW278" s="0"/>
      <c r="ALX278" s="0"/>
      <c r="ALY278" s="0"/>
      <c r="ALZ278" s="0"/>
      <c r="AMA278" s="0"/>
      <c r="AMB278" s="0"/>
      <c r="AMC278" s="0"/>
      <c r="AMD278" s="0"/>
      <c r="AME278" s="0"/>
      <c r="AMF278" s="0"/>
      <c r="AMG278" s="0"/>
      <c r="AMH278" s="0"/>
      <c r="AMI278" s="0"/>
      <c r="AMJ278" s="0"/>
    </row>
    <row r="279" s="14" customFormat="true" ht="12.8" hidden="false" customHeight="false" outlineLevel="0" collapsed="false">
      <c r="C279" s="26"/>
      <c r="E279" s="26"/>
      <c r="H279" s="2"/>
      <c r="I279" s="26"/>
      <c r="J279" s="26"/>
      <c r="K279" s="26"/>
      <c r="O279" s="26"/>
      <c r="P279" s="26"/>
      <c r="Q279" s="26"/>
      <c r="R279" s="26"/>
      <c r="S279" s="26"/>
      <c r="T279" s="26"/>
      <c r="U279" s="26"/>
      <c r="W279" s="27"/>
      <c r="AE279" s="26"/>
      <c r="AF279" s="26"/>
      <c r="AG279" s="26"/>
      <c r="AH279" s="26"/>
      <c r="AI279" s="26"/>
      <c r="AJ279" s="26"/>
      <c r="AKX279" s="0"/>
      <c r="AKY279" s="0"/>
      <c r="AKZ279" s="0"/>
      <c r="ALA279" s="0"/>
      <c r="ALB279" s="0"/>
      <c r="ALC279" s="0"/>
      <c r="ALD279" s="0"/>
      <c r="ALE279" s="0"/>
      <c r="ALF279" s="0"/>
      <c r="ALG279" s="0"/>
      <c r="ALH279" s="0"/>
      <c r="ALI279" s="0"/>
      <c r="ALJ279" s="0"/>
      <c r="ALK279" s="0"/>
      <c r="ALL279" s="0"/>
      <c r="ALM279" s="0"/>
      <c r="ALN279" s="0"/>
      <c r="ALO279" s="0"/>
      <c r="ALP279" s="0"/>
      <c r="ALQ279" s="0"/>
      <c r="ALR279" s="0"/>
      <c r="ALS279" s="0"/>
      <c r="ALT279" s="0"/>
      <c r="ALU279" s="0"/>
      <c r="ALV279" s="0"/>
      <c r="ALW279" s="0"/>
      <c r="ALX279" s="0"/>
      <c r="ALY279" s="0"/>
      <c r="ALZ279" s="0"/>
      <c r="AMA279" s="0"/>
      <c r="AMB279" s="0"/>
      <c r="AMC279" s="0"/>
      <c r="AMD279" s="0"/>
      <c r="AME279" s="0"/>
      <c r="AMF279" s="0"/>
      <c r="AMG279" s="0"/>
      <c r="AMH279" s="0"/>
      <c r="AMI279" s="0"/>
      <c r="AMJ279" s="0"/>
    </row>
    <row r="280" s="14" customFormat="true" ht="12.8" hidden="false" customHeight="false" outlineLevel="0" collapsed="false">
      <c r="C280" s="26"/>
      <c r="E280" s="26"/>
      <c r="H280" s="2"/>
      <c r="I280" s="26"/>
      <c r="J280" s="26"/>
      <c r="K280" s="26"/>
      <c r="O280" s="26"/>
      <c r="P280" s="26"/>
      <c r="Q280" s="26"/>
      <c r="R280" s="26"/>
      <c r="S280" s="26"/>
      <c r="T280" s="26"/>
      <c r="U280" s="26"/>
      <c r="W280" s="27"/>
      <c r="AE280" s="26"/>
      <c r="AF280" s="26"/>
      <c r="AG280" s="26"/>
      <c r="AH280" s="26"/>
      <c r="AI280" s="26"/>
      <c r="AJ280" s="26"/>
      <c r="AKX280" s="0"/>
      <c r="AKY280" s="0"/>
      <c r="AKZ280" s="0"/>
      <c r="ALA280" s="0"/>
      <c r="ALB280" s="0"/>
      <c r="ALC280" s="0"/>
      <c r="ALD280" s="0"/>
      <c r="ALE280" s="0"/>
      <c r="ALF280" s="0"/>
      <c r="ALG280" s="0"/>
      <c r="ALH280" s="0"/>
      <c r="ALI280" s="0"/>
      <c r="ALJ280" s="0"/>
      <c r="ALK280" s="0"/>
      <c r="ALL280" s="0"/>
      <c r="ALM280" s="0"/>
      <c r="ALN280" s="0"/>
      <c r="ALO280" s="0"/>
      <c r="ALP280" s="0"/>
      <c r="ALQ280" s="0"/>
      <c r="ALR280" s="0"/>
      <c r="ALS280" s="0"/>
      <c r="ALT280" s="0"/>
      <c r="ALU280" s="0"/>
      <c r="ALV280" s="0"/>
      <c r="ALW280" s="0"/>
      <c r="ALX280" s="0"/>
      <c r="ALY280" s="0"/>
      <c r="ALZ280" s="0"/>
      <c r="AMA280" s="0"/>
      <c r="AMB280" s="0"/>
      <c r="AMC280" s="0"/>
      <c r="AMD280" s="0"/>
      <c r="AME280" s="0"/>
      <c r="AMF280" s="0"/>
      <c r="AMG280" s="0"/>
      <c r="AMH280" s="0"/>
      <c r="AMI280" s="0"/>
      <c r="AMJ280" s="0"/>
    </row>
    <row r="281" s="14" customFormat="true" ht="12.8" hidden="false" customHeight="false" outlineLevel="0" collapsed="false">
      <c r="C281" s="26"/>
      <c r="E281" s="26"/>
      <c r="H281" s="2"/>
      <c r="I281" s="26"/>
      <c r="J281" s="26"/>
      <c r="K281" s="26"/>
      <c r="O281" s="26"/>
      <c r="P281" s="26"/>
      <c r="Q281" s="26"/>
      <c r="R281" s="26"/>
      <c r="S281" s="26"/>
      <c r="T281" s="26"/>
      <c r="U281" s="26"/>
      <c r="W281" s="27"/>
      <c r="AE281" s="26"/>
      <c r="AF281" s="26"/>
      <c r="AG281" s="26"/>
      <c r="AH281" s="26"/>
      <c r="AI281" s="26"/>
      <c r="AJ281" s="26"/>
      <c r="AKX281" s="0"/>
      <c r="AKY281" s="0"/>
      <c r="AKZ281" s="0"/>
      <c r="ALA281" s="0"/>
      <c r="ALB281" s="0"/>
      <c r="ALC281" s="0"/>
      <c r="ALD281" s="0"/>
      <c r="ALE281" s="0"/>
      <c r="ALF281" s="0"/>
      <c r="ALG281" s="0"/>
      <c r="ALH281" s="0"/>
      <c r="ALI281" s="0"/>
      <c r="ALJ281" s="0"/>
      <c r="ALK281" s="0"/>
      <c r="ALL281" s="0"/>
      <c r="ALM281" s="0"/>
      <c r="ALN281" s="0"/>
      <c r="ALO281" s="0"/>
      <c r="ALP281" s="0"/>
      <c r="ALQ281" s="0"/>
      <c r="ALR281" s="0"/>
      <c r="ALS281" s="0"/>
      <c r="ALT281" s="0"/>
      <c r="ALU281" s="0"/>
      <c r="ALV281" s="0"/>
      <c r="ALW281" s="0"/>
      <c r="ALX281" s="0"/>
      <c r="ALY281" s="0"/>
      <c r="ALZ281" s="0"/>
      <c r="AMA281" s="0"/>
      <c r="AMB281" s="0"/>
      <c r="AMC281" s="0"/>
      <c r="AMD281" s="0"/>
      <c r="AME281" s="0"/>
      <c r="AMF281" s="0"/>
      <c r="AMG281" s="0"/>
      <c r="AMH281" s="0"/>
      <c r="AMI281" s="0"/>
      <c r="AMJ281" s="0"/>
    </row>
    <row r="282" s="14" customFormat="true" ht="12.8" hidden="false" customHeight="false" outlineLevel="0" collapsed="false">
      <c r="C282" s="26"/>
      <c r="E282" s="26"/>
      <c r="H282" s="2"/>
      <c r="I282" s="26"/>
      <c r="J282" s="26"/>
      <c r="K282" s="26"/>
      <c r="O282" s="26"/>
      <c r="P282" s="26"/>
      <c r="Q282" s="26"/>
      <c r="R282" s="26"/>
      <c r="S282" s="26"/>
      <c r="T282" s="26"/>
      <c r="U282" s="26"/>
      <c r="W282" s="27"/>
      <c r="AE282" s="26"/>
      <c r="AF282" s="26"/>
      <c r="AG282" s="26"/>
      <c r="AH282" s="26"/>
      <c r="AI282" s="26"/>
      <c r="AJ282" s="26"/>
      <c r="AKX282" s="0"/>
      <c r="AKY282" s="0"/>
      <c r="AKZ282" s="0"/>
      <c r="ALA282" s="0"/>
      <c r="ALB282" s="0"/>
      <c r="ALC282" s="0"/>
      <c r="ALD282" s="0"/>
      <c r="ALE282" s="0"/>
      <c r="ALF282" s="0"/>
      <c r="ALG282" s="0"/>
      <c r="ALH282" s="0"/>
      <c r="ALI282" s="0"/>
      <c r="ALJ282" s="0"/>
      <c r="ALK282" s="0"/>
      <c r="ALL282" s="0"/>
      <c r="ALM282" s="0"/>
      <c r="ALN282" s="0"/>
      <c r="ALO282" s="0"/>
      <c r="ALP282" s="0"/>
      <c r="ALQ282" s="0"/>
      <c r="ALR282" s="0"/>
      <c r="ALS282" s="0"/>
      <c r="ALT282" s="0"/>
      <c r="ALU282" s="0"/>
      <c r="ALV282" s="0"/>
      <c r="ALW282" s="0"/>
      <c r="ALX282" s="0"/>
      <c r="ALY282" s="0"/>
      <c r="ALZ282" s="0"/>
      <c r="AMA282" s="0"/>
      <c r="AMB282" s="0"/>
      <c r="AMC282" s="0"/>
      <c r="AMD282" s="0"/>
      <c r="AME282" s="0"/>
      <c r="AMF282" s="0"/>
      <c r="AMG282" s="0"/>
      <c r="AMH282" s="0"/>
      <c r="AMI282" s="0"/>
      <c r="AMJ282" s="0"/>
    </row>
    <row r="283" s="14" customFormat="true" ht="12.8" hidden="false" customHeight="false" outlineLevel="0" collapsed="false">
      <c r="C283" s="26"/>
      <c r="E283" s="26"/>
      <c r="H283" s="2"/>
      <c r="I283" s="26"/>
      <c r="J283" s="26"/>
      <c r="K283" s="26"/>
      <c r="O283" s="26"/>
      <c r="P283" s="26"/>
      <c r="Q283" s="26"/>
      <c r="R283" s="26"/>
      <c r="S283" s="26"/>
      <c r="T283" s="26"/>
      <c r="U283" s="26"/>
      <c r="W283" s="27"/>
      <c r="AE283" s="26"/>
      <c r="AF283" s="26"/>
      <c r="AG283" s="26"/>
      <c r="AH283" s="26"/>
      <c r="AI283" s="26"/>
      <c r="AJ283" s="26"/>
      <c r="AKX283" s="0"/>
      <c r="AKY283" s="0"/>
      <c r="AKZ283" s="0"/>
      <c r="ALA283" s="0"/>
      <c r="ALB283" s="0"/>
      <c r="ALC283" s="0"/>
      <c r="ALD283" s="0"/>
      <c r="ALE283" s="0"/>
      <c r="ALF283" s="0"/>
      <c r="ALG283" s="0"/>
      <c r="ALH283" s="0"/>
      <c r="ALI283" s="0"/>
      <c r="ALJ283" s="0"/>
      <c r="ALK283" s="0"/>
      <c r="ALL283" s="0"/>
      <c r="ALM283" s="0"/>
      <c r="ALN283" s="0"/>
      <c r="ALO283" s="0"/>
      <c r="ALP283" s="0"/>
      <c r="ALQ283" s="0"/>
      <c r="ALR283" s="0"/>
      <c r="ALS283" s="0"/>
      <c r="ALT283" s="0"/>
      <c r="ALU283" s="0"/>
      <c r="ALV283" s="0"/>
      <c r="ALW283" s="0"/>
      <c r="ALX283" s="0"/>
      <c r="ALY283" s="0"/>
      <c r="ALZ283" s="0"/>
      <c r="AMA283" s="0"/>
      <c r="AMB283" s="0"/>
      <c r="AMC283" s="0"/>
      <c r="AMD283" s="0"/>
      <c r="AME283" s="0"/>
      <c r="AMF283" s="0"/>
      <c r="AMG283" s="0"/>
      <c r="AMH283" s="0"/>
      <c r="AMI283" s="0"/>
      <c r="AMJ283" s="0"/>
    </row>
    <row r="284" s="14" customFormat="true" ht="12.8" hidden="false" customHeight="false" outlineLevel="0" collapsed="false">
      <c r="C284" s="26"/>
      <c r="E284" s="26"/>
      <c r="H284" s="2"/>
      <c r="I284" s="26"/>
      <c r="J284" s="26"/>
      <c r="K284" s="26"/>
      <c r="O284" s="26"/>
      <c r="P284" s="26"/>
      <c r="Q284" s="26"/>
      <c r="R284" s="26"/>
      <c r="S284" s="26"/>
      <c r="T284" s="26"/>
      <c r="U284" s="26"/>
      <c r="W284" s="27"/>
      <c r="AE284" s="26"/>
      <c r="AF284" s="26"/>
      <c r="AG284" s="26"/>
      <c r="AH284" s="26"/>
      <c r="AI284" s="26"/>
      <c r="AJ284" s="26"/>
      <c r="AKX284" s="0"/>
      <c r="AKY284" s="0"/>
      <c r="AKZ284" s="0"/>
      <c r="ALA284" s="0"/>
      <c r="ALB284" s="0"/>
      <c r="ALC284" s="0"/>
      <c r="ALD284" s="0"/>
      <c r="ALE284" s="0"/>
      <c r="ALF284" s="0"/>
      <c r="ALG284" s="0"/>
      <c r="ALH284" s="0"/>
      <c r="ALI284" s="0"/>
      <c r="ALJ284" s="0"/>
      <c r="ALK284" s="0"/>
      <c r="ALL284" s="0"/>
      <c r="ALM284" s="0"/>
      <c r="ALN284" s="0"/>
      <c r="ALO284" s="0"/>
      <c r="ALP284" s="0"/>
      <c r="ALQ284" s="0"/>
      <c r="ALR284" s="0"/>
      <c r="ALS284" s="0"/>
      <c r="ALT284" s="0"/>
      <c r="ALU284" s="0"/>
      <c r="ALV284" s="0"/>
      <c r="ALW284" s="0"/>
      <c r="ALX284" s="0"/>
      <c r="ALY284" s="0"/>
      <c r="ALZ284" s="0"/>
      <c r="AMA284" s="0"/>
      <c r="AMB284" s="0"/>
      <c r="AMC284" s="0"/>
      <c r="AMD284" s="0"/>
      <c r="AME284" s="0"/>
      <c r="AMF284" s="0"/>
      <c r="AMG284" s="0"/>
      <c r="AMH284" s="0"/>
      <c r="AMI284" s="0"/>
      <c r="AMJ284" s="0"/>
    </row>
    <row r="285" s="14" customFormat="true" ht="12.8" hidden="false" customHeight="false" outlineLevel="0" collapsed="false">
      <c r="C285" s="26"/>
      <c r="E285" s="26"/>
      <c r="H285" s="2"/>
      <c r="I285" s="26"/>
      <c r="J285" s="26"/>
      <c r="K285" s="26"/>
      <c r="O285" s="26"/>
      <c r="P285" s="26"/>
      <c r="Q285" s="26"/>
      <c r="R285" s="26"/>
      <c r="S285" s="26"/>
      <c r="T285" s="26"/>
      <c r="U285" s="26"/>
      <c r="W285" s="27"/>
      <c r="AE285" s="26"/>
      <c r="AF285" s="26"/>
      <c r="AG285" s="26"/>
      <c r="AH285" s="26"/>
      <c r="AI285" s="26"/>
      <c r="AJ285" s="26"/>
      <c r="AKX285" s="0"/>
      <c r="AKY285" s="0"/>
      <c r="AKZ285" s="0"/>
      <c r="ALA285" s="0"/>
      <c r="ALB285" s="0"/>
      <c r="ALC285" s="0"/>
      <c r="ALD285" s="0"/>
      <c r="ALE285" s="0"/>
      <c r="ALF285" s="0"/>
      <c r="ALG285" s="0"/>
      <c r="ALH285" s="0"/>
      <c r="ALI285" s="0"/>
      <c r="ALJ285" s="0"/>
      <c r="ALK285" s="0"/>
      <c r="ALL285" s="0"/>
      <c r="ALM285" s="0"/>
      <c r="ALN285" s="0"/>
      <c r="ALO285" s="0"/>
      <c r="ALP285" s="0"/>
      <c r="ALQ285" s="0"/>
      <c r="ALR285" s="0"/>
      <c r="ALS285" s="0"/>
      <c r="ALT285" s="0"/>
      <c r="ALU285" s="0"/>
      <c r="ALV285" s="0"/>
      <c r="ALW285" s="0"/>
      <c r="ALX285" s="0"/>
      <c r="ALY285" s="0"/>
      <c r="ALZ285" s="0"/>
      <c r="AMA285" s="0"/>
      <c r="AMB285" s="0"/>
      <c r="AMC285" s="0"/>
      <c r="AMD285" s="0"/>
      <c r="AME285" s="0"/>
      <c r="AMF285" s="0"/>
      <c r="AMG285" s="0"/>
      <c r="AMH285" s="0"/>
      <c r="AMI285" s="0"/>
      <c r="AMJ285" s="0"/>
    </row>
    <row r="286" s="14" customFormat="true" ht="12.8" hidden="false" customHeight="false" outlineLevel="0" collapsed="false">
      <c r="C286" s="26"/>
      <c r="E286" s="26"/>
      <c r="H286" s="2"/>
      <c r="I286" s="26"/>
      <c r="J286" s="26"/>
      <c r="K286" s="26"/>
      <c r="O286" s="26"/>
      <c r="P286" s="26"/>
      <c r="Q286" s="26"/>
      <c r="R286" s="26"/>
      <c r="S286" s="26"/>
      <c r="T286" s="26"/>
      <c r="U286" s="26"/>
      <c r="W286" s="27"/>
      <c r="AE286" s="26"/>
      <c r="AF286" s="26"/>
      <c r="AG286" s="26"/>
      <c r="AH286" s="26"/>
      <c r="AI286" s="26"/>
      <c r="AJ286" s="26"/>
      <c r="AKX286" s="0"/>
      <c r="AKY286" s="0"/>
      <c r="AKZ286" s="0"/>
      <c r="ALA286" s="0"/>
      <c r="ALB286" s="0"/>
      <c r="ALC286" s="0"/>
      <c r="ALD286" s="0"/>
      <c r="ALE286" s="0"/>
      <c r="ALF286" s="0"/>
      <c r="ALG286" s="0"/>
      <c r="ALH286" s="0"/>
      <c r="ALI286" s="0"/>
      <c r="ALJ286" s="0"/>
      <c r="ALK286" s="0"/>
      <c r="ALL286" s="0"/>
      <c r="ALM286" s="0"/>
      <c r="ALN286" s="0"/>
      <c r="ALO286" s="0"/>
      <c r="ALP286" s="0"/>
      <c r="ALQ286" s="0"/>
      <c r="ALR286" s="0"/>
      <c r="ALS286" s="0"/>
      <c r="ALT286" s="0"/>
      <c r="ALU286" s="0"/>
      <c r="ALV286" s="0"/>
      <c r="ALW286" s="0"/>
      <c r="ALX286" s="0"/>
      <c r="ALY286" s="0"/>
      <c r="ALZ286" s="0"/>
      <c r="AMA286" s="0"/>
      <c r="AMB286" s="0"/>
      <c r="AMC286" s="0"/>
      <c r="AMD286" s="0"/>
      <c r="AME286" s="0"/>
      <c r="AMF286" s="0"/>
      <c r="AMG286" s="0"/>
      <c r="AMH286" s="0"/>
      <c r="AMI286" s="0"/>
      <c r="AMJ286" s="0"/>
    </row>
    <row r="287" s="14" customFormat="true" ht="12.8" hidden="false" customHeight="false" outlineLevel="0" collapsed="false">
      <c r="C287" s="26"/>
      <c r="E287" s="26"/>
      <c r="H287" s="2"/>
      <c r="I287" s="26"/>
      <c r="J287" s="26"/>
      <c r="K287" s="26"/>
      <c r="O287" s="26"/>
      <c r="P287" s="26"/>
      <c r="Q287" s="26"/>
      <c r="R287" s="26"/>
      <c r="S287" s="26"/>
      <c r="T287" s="26"/>
      <c r="U287" s="26"/>
      <c r="W287" s="27"/>
      <c r="AE287" s="26"/>
      <c r="AF287" s="26"/>
      <c r="AG287" s="26"/>
      <c r="AH287" s="26"/>
      <c r="AI287" s="26"/>
      <c r="AJ287" s="26"/>
      <c r="AKX287" s="0"/>
      <c r="AKY287" s="0"/>
      <c r="AKZ287" s="0"/>
      <c r="ALA287" s="0"/>
      <c r="ALB287" s="0"/>
      <c r="ALC287" s="0"/>
      <c r="ALD287" s="0"/>
      <c r="ALE287" s="0"/>
      <c r="ALF287" s="0"/>
      <c r="ALG287" s="0"/>
      <c r="ALH287" s="0"/>
      <c r="ALI287" s="0"/>
      <c r="ALJ287" s="0"/>
      <c r="ALK287" s="0"/>
      <c r="ALL287" s="0"/>
      <c r="ALM287" s="0"/>
      <c r="ALN287" s="0"/>
      <c r="ALO287" s="0"/>
      <c r="ALP287" s="0"/>
      <c r="ALQ287" s="0"/>
      <c r="ALR287" s="0"/>
      <c r="ALS287" s="0"/>
      <c r="ALT287" s="0"/>
      <c r="ALU287" s="0"/>
      <c r="ALV287" s="0"/>
      <c r="ALW287" s="0"/>
      <c r="ALX287" s="0"/>
      <c r="ALY287" s="0"/>
      <c r="ALZ287" s="0"/>
      <c r="AMA287" s="0"/>
      <c r="AMB287" s="0"/>
      <c r="AMC287" s="0"/>
      <c r="AMD287" s="0"/>
      <c r="AME287" s="0"/>
      <c r="AMF287" s="0"/>
      <c r="AMG287" s="0"/>
      <c r="AMH287" s="0"/>
      <c r="AMI287" s="0"/>
      <c r="AMJ287" s="0"/>
    </row>
    <row r="288" s="14" customFormat="true" ht="12.8" hidden="false" customHeight="false" outlineLevel="0" collapsed="false">
      <c r="C288" s="26"/>
      <c r="E288" s="26"/>
      <c r="H288" s="2"/>
      <c r="I288" s="26"/>
      <c r="J288" s="26"/>
      <c r="K288" s="26"/>
      <c r="O288" s="26"/>
      <c r="P288" s="26"/>
      <c r="Q288" s="26"/>
      <c r="R288" s="26"/>
      <c r="S288" s="26"/>
      <c r="T288" s="26"/>
      <c r="U288" s="26"/>
      <c r="W288" s="27"/>
      <c r="AE288" s="26"/>
      <c r="AF288" s="26"/>
      <c r="AG288" s="26"/>
      <c r="AH288" s="26"/>
      <c r="AI288" s="26"/>
      <c r="AJ288" s="26"/>
      <c r="AKX288" s="0"/>
      <c r="AKY288" s="0"/>
      <c r="AKZ288" s="0"/>
      <c r="ALA288" s="0"/>
      <c r="ALB288" s="0"/>
      <c r="ALC288" s="0"/>
      <c r="ALD288" s="0"/>
      <c r="ALE288" s="0"/>
      <c r="ALF288" s="0"/>
      <c r="ALG288" s="0"/>
      <c r="ALH288" s="0"/>
      <c r="ALI288" s="0"/>
      <c r="ALJ288" s="0"/>
      <c r="ALK288" s="0"/>
      <c r="ALL288" s="0"/>
      <c r="ALM288" s="0"/>
      <c r="ALN288" s="0"/>
      <c r="ALO288" s="0"/>
      <c r="ALP288" s="0"/>
      <c r="ALQ288" s="0"/>
      <c r="ALR288" s="0"/>
      <c r="ALS288" s="0"/>
      <c r="ALT288" s="0"/>
      <c r="ALU288" s="0"/>
      <c r="ALV288" s="0"/>
      <c r="ALW288" s="0"/>
      <c r="ALX288" s="0"/>
      <c r="ALY288" s="0"/>
      <c r="ALZ288" s="0"/>
      <c r="AMA288" s="0"/>
      <c r="AMB288" s="0"/>
      <c r="AMC288" s="0"/>
      <c r="AMD288" s="0"/>
      <c r="AME288" s="0"/>
      <c r="AMF288" s="0"/>
      <c r="AMG288" s="0"/>
      <c r="AMH288" s="0"/>
      <c r="AMI288" s="0"/>
      <c r="AMJ288" s="0"/>
    </row>
    <row r="289" s="14" customFormat="true" ht="12.8" hidden="false" customHeight="false" outlineLevel="0" collapsed="false">
      <c r="C289" s="26"/>
      <c r="E289" s="26"/>
      <c r="H289" s="2"/>
      <c r="I289" s="26"/>
      <c r="J289" s="26"/>
      <c r="K289" s="26"/>
      <c r="O289" s="26"/>
      <c r="P289" s="26"/>
      <c r="Q289" s="26"/>
      <c r="R289" s="26"/>
      <c r="S289" s="26"/>
      <c r="T289" s="26"/>
      <c r="U289" s="26"/>
      <c r="W289" s="27"/>
      <c r="AE289" s="26"/>
      <c r="AF289" s="26"/>
      <c r="AG289" s="26"/>
      <c r="AH289" s="26"/>
      <c r="AI289" s="26"/>
      <c r="AJ289" s="26"/>
      <c r="AKX289" s="0"/>
      <c r="AKY289" s="0"/>
      <c r="AKZ289" s="0"/>
      <c r="ALA289" s="0"/>
      <c r="ALB289" s="0"/>
      <c r="ALC289" s="0"/>
      <c r="ALD289" s="0"/>
      <c r="ALE289" s="0"/>
      <c r="ALF289" s="0"/>
      <c r="ALG289" s="0"/>
      <c r="ALH289" s="0"/>
      <c r="ALI289" s="0"/>
      <c r="ALJ289" s="0"/>
      <c r="ALK289" s="0"/>
      <c r="ALL289" s="0"/>
      <c r="ALM289" s="0"/>
      <c r="ALN289" s="0"/>
      <c r="ALO289" s="0"/>
      <c r="ALP289" s="0"/>
      <c r="ALQ289" s="0"/>
      <c r="ALR289" s="0"/>
      <c r="ALS289" s="0"/>
      <c r="ALT289" s="0"/>
      <c r="ALU289" s="0"/>
      <c r="ALV289" s="0"/>
      <c r="ALW289" s="0"/>
      <c r="ALX289" s="0"/>
      <c r="ALY289" s="0"/>
      <c r="ALZ289" s="0"/>
      <c r="AMA289" s="0"/>
      <c r="AMB289" s="0"/>
      <c r="AMC289" s="0"/>
      <c r="AMD289" s="0"/>
      <c r="AME289" s="0"/>
      <c r="AMF289" s="0"/>
      <c r="AMG289" s="0"/>
      <c r="AMH289" s="0"/>
      <c r="AMI289" s="0"/>
      <c r="AMJ289" s="0"/>
    </row>
    <row r="290" s="14" customFormat="true" ht="12.8" hidden="false" customHeight="false" outlineLevel="0" collapsed="false">
      <c r="C290" s="26"/>
      <c r="E290" s="26"/>
      <c r="H290" s="2"/>
      <c r="I290" s="26"/>
      <c r="J290" s="26"/>
      <c r="K290" s="26"/>
      <c r="O290" s="26"/>
      <c r="P290" s="26"/>
      <c r="Q290" s="26"/>
      <c r="R290" s="26"/>
      <c r="S290" s="26"/>
      <c r="T290" s="26"/>
      <c r="U290" s="26"/>
      <c r="W290" s="27"/>
      <c r="AE290" s="26"/>
      <c r="AF290" s="26"/>
      <c r="AG290" s="26"/>
      <c r="AH290" s="26"/>
      <c r="AI290" s="26"/>
      <c r="AJ290" s="26"/>
      <c r="AKX290" s="0"/>
      <c r="AKY290" s="0"/>
      <c r="AKZ290" s="0"/>
      <c r="ALA290" s="0"/>
      <c r="ALB290" s="0"/>
      <c r="ALC290" s="0"/>
      <c r="ALD290" s="0"/>
      <c r="ALE290" s="0"/>
      <c r="ALF290" s="0"/>
      <c r="ALG290" s="0"/>
      <c r="ALH290" s="0"/>
      <c r="ALI290" s="0"/>
      <c r="ALJ290" s="0"/>
      <c r="ALK290" s="0"/>
      <c r="ALL290" s="0"/>
      <c r="ALM290" s="0"/>
      <c r="ALN290" s="0"/>
      <c r="ALO290" s="0"/>
      <c r="ALP290" s="0"/>
      <c r="ALQ290" s="0"/>
      <c r="ALR290" s="0"/>
      <c r="ALS290" s="0"/>
      <c r="ALT290" s="0"/>
      <c r="ALU290" s="0"/>
      <c r="ALV290" s="0"/>
      <c r="ALW290" s="0"/>
      <c r="ALX290" s="0"/>
      <c r="ALY290" s="0"/>
      <c r="ALZ290" s="0"/>
      <c r="AMA290" s="0"/>
      <c r="AMB290" s="0"/>
      <c r="AMC290" s="0"/>
      <c r="AMD290" s="0"/>
      <c r="AME290" s="0"/>
      <c r="AMF290" s="0"/>
      <c r="AMG290" s="0"/>
      <c r="AMH290" s="0"/>
      <c r="AMI290" s="0"/>
      <c r="AMJ290" s="0"/>
    </row>
    <row r="291" s="14" customFormat="true" ht="12.8" hidden="false" customHeight="false" outlineLevel="0" collapsed="false">
      <c r="C291" s="26"/>
      <c r="E291" s="26"/>
      <c r="H291" s="2"/>
      <c r="I291" s="26"/>
      <c r="J291" s="26"/>
      <c r="K291" s="26"/>
      <c r="O291" s="26"/>
      <c r="P291" s="26"/>
      <c r="Q291" s="26"/>
      <c r="R291" s="26"/>
      <c r="S291" s="26"/>
      <c r="T291" s="26"/>
      <c r="U291" s="26"/>
      <c r="W291" s="27"/>
      <c r="AE291" s="26"/>
      <c r="AF291" s="26"/>
      <c r="AG291" s="26"/>
      <c r="AH291" s="26"/>
      <c r="AI291" s="26"/>
      <c r="AJ291" s="26"/>
      <c r="AKX291" s="0"/>
      <c r="AKY291" s="0"/>
      <c r="AKZ291" s="0"/>
      <c r="ALA291" s="0"/>
      <c r="ALB291" s="0"/>
      <c r="ALC291" s="0"/>
      <c r="ALD291" s="0"/>
      <c r="ALE291" s="0"/>
      <c r="ALF291" s="0"/>
      <c r="ALG291" s="0"/>
      <c r="ALH291" s="0"/>
      <c r="ALI291" s="0"/>
      <c r="ALJ291" s="0"/>
      <c r="ALK291" s="0"/>
      <c r="ALL291" s="0"/>
      <c r="ALM291" s="0"/>
      <c r="ALN291" s="0"/>
      <c r="ALO291" s="0"/>
      <c r="ALP291" s="0"/>
      <c r="ALQ291" s="0"/>
      <c r="ALR291" s="0"/>
      <c r="ALS291" s="0"/>
      <c r="ALT291" s="0"/>
      <c r="ALU291" s="0"/>
      <c r="ALV291" s="0"/>
      <c r="ALW291" s="0"/>
      <c r="ALX291" s="0"/>
      <c r="ALY291" s="0"/>
      <c r="ALZ291" s="0"/>
      <c r="AMA291" s="0"/>
      <c r="AMB291" s="0"/>
      <c r="AMC291" s="0"/>
      <c r="AMD291" s="0"/>
      <c r="AME291" s="0"/>
      <c r="AMF291" s="0"/>
      <c r="AMG291" s="0"/>
      <c r="AMH291" s="0"/>
      <c r="AMI291" s="0"/>
      <c r="AMJ291" s="0"/>
    </row>
    <row r="292" s="14" customFormat="true" ht="12.8" hidden="false" customHeight="false" outlineLevel="0" collapsed="false">
      <c r="C292" s="26"/>
      <c r="E292" s="26"/>
      <c r="H292" s="2"/>
      <c r="I292" s="26"/>
      <c r="J292" s="26"/>
      <c r="K292" s="26"/>
      <c r="O292" s="26"/>
      <c r="P292" s="26"/>
      <c r="Q292" s="26"/>
      <c r="R292" s="26"/>
      <c r="S292" s="26"/>
      <c r="T292" s="26"/>
      <c r="U292" s="26"/>
      <c r="W292" s="27"/>
      <c r="AE292" s="26"/>
      <c r="AF292" s="26"/>
      <c r="AG292" s="26"/>
      <c r="AH292" s="26"/>
      <c r="AI292" s="26"/>
      <c r="AJ292" s="26"/>
      <c r="AKX292" s="0"/>
      <c r="AKY292" s="0"/>
      <c r="AKZ292" s="0"/>
      <c r="ALA292" s="0"/>
      <c r="ALB292" s="0"/>
      <c r="ALC292" s="0"/>
      <c r="ALD292" s="0"/>
      <c r="ALE292" s="0"/>
      <c r="ALF292" s="0"/>
      <c r="ALG292" s="0"/>
      <c r="ALH292" s="0"/>
      <c r="ALI292" s="0"/>
      <c r="ALJ292" s="0"/>
      <c r="ALK292" s="0"/>
      <c r="ALL292" s="0"/>
      <c r="ALM292" s="0"/>
      <c r="ALN292" s="0"/>
      <c r="ALO292" s="0"/>
      <c r="ALP292" s="0"/>
      <c r="ALQ292" s="0"/>
      <c r="ALR292" s="0"/>
      <c r="ALS292" s="0"/>
      <c r="ALT292" s="0"/>
      <c r="ALU292" s="0"/>
      <c r="ALV292" s="0"/>
      <c r="ALW292" s="0"/>
      <c r="ALX292" s="0"/>
      <c r="ALY292" s="0"/>
      <c r="ALZ292" s="0"/>
      <c r="AMA292" s="0"/>
      <c r="AMB292" s="0"/>
      <c r="AMC292" s="0"/>
      <c r="AMD292" s="0"/>
      <c r="AME292" s="0"/>
      <c r="AMF292" s="0"/>
      <c r="AMG292" s="0"/>
      <c r="AMH292" s="0"/>
      <c r="AMI292" s="0"/>
      <c r="AMJ292" s="0"/>
    </row>
    <row r="293" s="14" customFormat="true" ht="12.8" hidden="false" customHeight="false" outlineLevel="0" collapsed="false">
      <c r="C293" s="26"/>
      <c r="E293" s="26"/>
      <c r="H293" s="2"/>
      <c r="I293" s="26"/>
      <c r="J293" s="26"/>
      <c r="K293" s="26"/>
      <c r="O293" s="26"/>
      <c r="P293" s="26"/>
      <c r="Q293" s="26"/>
      <c r="R293" s="26"/>
      <c r="S293" s="26"/>
      <c r="T293" s="26"/>
      <c r="U293" s="26"/>
      <c r="W293" s="27"/>
      <c r="AE293" s="26"/>
      <c r="AF293" s="26"/>
      <c r="AG293" s="26"/>
      <c r="AH293" s="26"/>
      <c r="AI293" s="26"/>
      <c r="AJ293" s="26"/>
      <c r="AKX293" s="0"/>
      <c r="AKY293" s="0"/>
      <c r="AKZ293" s="0"/>
      <c r="ALA293" s="0"/>
      <c r="ALB293" s="0"/>
      <c r="ALC293" s="0"/>
      <c r="ALD293" s="0"/>
      <c r="ALE293" s="0"/>
      <c r="ALF293" s="0"/>
      <c r="ALG293" s="0"/>
      <c r="ALH293" s="0"/>
      <c r="ALI293" s="0"/>
      <c r="ALJ293" s="0"/>
      <c r="ALK293" s="0"/>
      <c r="ALL293" s="0"/>
      <c r="ALM293" s="0"/>
      <c r="ALN293" s="0"/>
      <c r="ALO293" s="0"/>
      <c r="ALP293" s="0"/>
      <c r="ALQ293" s="0"/>
      <c r="ALR293" s="0"/>
      <c r="ALS293" s="0"/>
      <c r="ALT293" s="0"/>
      <c r="ALU293" s="0"/>
      <c r="ALV293" s="0"/>
      <c r="ALW293" s="0"/>
      <c r="ALX293" s="0"/>
      <c r="ALY293" s="0"/>
      <c r="ALZ293" s="0"/>
      <c r="AMA293" s="0"/>
      <c r="AMB293" s="0"/>
      <c r="AMC293" s="0"/>
      <c r="AMD293" s="0"/>
      <c r="AME293" s="0"/>
      <c r="AMF293" s="0"/>
      <c r="AMG293" s="0"/>
      <c r="AMH293" s="0"/>
      <c r="AMI293" s="0"/>
      <c r="AMJ293" s="0"/>
    </row>
    <row r="294" s="14" customFormat="true" ht="12.8" hidden="false" customHeight="false" outlineLevel="0" collapsed="false">
      <c r="C294" s="26"/>
      <c r="E294" s="26"/>
      <c r="H294" s="2"/>
      <c r="I294" s="26"/>
      <c r="J294" s="26"/>
      <c r="K294" s="26"/>
      <c r="O294" s="26"/>
      <c r="P294" s="26"/>
      <c r="Q294" s="26"/>
      <c r="R294" s="26"/>
      <c r="S294" s="26"/>
      <c r="T294" s="26"/>
      <c r="U294" s="26"/>
      <c r="W294" s="27"/>
      <c r="AE294" s="26"/>
      <c r="AF294" s="26"/>
      <c r="AG294" s="26"/>
      <c r="AH294" s="26"/>
      <c r="AI294" s="26"/>
      <c r="AJ294" s="26"/>
      <c r="AKX294" s="0"/>
      <c r="AKY294" s="0"/>
      <c r="AKZ294" s="0"/>
      <c r="ALA294" s="0"/>
      <c r="ALB294" s="0"/>
      <c r="ALC294" s="0"/>
      <c r="ALD294" s="0"/>
      <c r="ALE294" s="0"/>
      <c r="ALF294" s="0"/>
      <c r="ALG294" s="0"/>
      <c r="ALH294" s="0"/>
      <c r="ALI294" s="0"/>
      <c r="ALJ294" s="0"/>
      <c r="ALK294" s="0"/>
      <c r="ALL294" s="0"/>
      <c r="ALM294" s="0"/>
      <c r="ALN294" s="0"/>
      <c r="ALO294" s="0"/>
      <c r="ALP294" s="0"/>
      <c r="ALQ294" s="0"/>
      <c r="ALR294" s="0"/>
      <c r="ALS294" s="0"/>
      <c r="ALT294" s="0"/>
      <c r="ALU294" s="0"/>
      <c r="ALV294" s="0"/>
      <c r="ALW294" s="0"/>
      <c r="ALX294" s="0"/>
      <c r="ALY294" s="0"/>
      <c r="ALZ294" s="0"/>
      <c r="AMA294" s="0"/>
      <c r="AMB294" s="0"/>
      <c r="AMC294" s="0"/>
      <c r="AMD294" s="0"/>
      <c r="AME294" s="0"/>
      <c r="AMF294" s="0"/>
      <c r="AMG294" s="0"/>
      <c r="AMH294" s="0"/>
      <c r="AMI294" s="0"/>
      <c r="AMJ294" s="0"/>
    </row>
    <row r="295" s="14" customFormat="true" ht="12.8" hidden="false" customHeight="false" outlineLevel="0" collapsed="false">
      <c r="C295" s="26"/>
      <c r="E295" s="26"/>
      <c r="H295" s="2"/>
      <c r="I295" s="26"/>
      <c r="J295" s="26"/>
      <c r="K295" s="26"/>
      <c r="O295" s="26"/>
      <c r="P295" s="26"/>
      <c r="Q295" s="26"/>
      <c r="R295" s="26"/>
      <c r="S295" s="26"/>
      <c r="T295" s="26"/>
      <c r="U295" s="26"/>
      <c r="W295" s="27"/>
      <c r="AE295" s="26"/>
      <c r="AF295" s="26"/>
      <c r="AG295" s="26"/>
      <c r="AH295" s="26"/>
      <c r="AI295" s="26"/>
      <c r="AJ295" s="26"/>
      <c r="AKX295" s="0"/>
      <c r="AKY295" s="0"/>
      <c r="AKZ295" s="0"/>
      <c r="ALA295" s="0"/>
      <c r="ALB295" s="0"/>
      <c r="ALC295" s="0"/>
      <c r="ALD295" s="0"/>
      <c r="ALE295" s="0"/>
      <c r="ALF295" s="0"/>
      <c r="ALG295" s="0"/>
      <c r="ALH295" s="0"/>
      <c r="ALI295" s="0"/>
      <c r="ALJ295" s="0"/>
      <c r="ALK295" s="0"/>
      <c r="ALL295" s="0"/>
      <c r="ALM295" s="0"/>
      <c r="ALN295" s="0"/>
      <c r="ALO295" s="0"/>
      <c r="ALP295" s="0"/>
      <c r="ALQ295" s="0"/>
      <c r="ALR295" s="0"/>
      <c r="ALS295" s="0"/>
      <c r="ALT295" s="0"/>
      <c r="ALU295" s="0"/>
      <c r="ALV295" s="0"/>
      <c r="ALW295" s="0"/>
      <c r="ALX295" s="0"/>
      <c r="ALY295" s="0"/>
      <c r="ALZ295" s="0"/>
      <c r="AMA295" s="0"/>
      <c r="AMB295" s="0"/>
      <c r="AMC295" s="0"/>
      <c r="AMD295" s="0"/>
      <c r="AME295" s="0"/>
      <c r="AMF295" s="0"/>
      <c r="AMG295" s="0"/>
      <c r="AMH295" s="0"/>
      <c r="AMI295" s="0"/>
      <c r="AMJ295" s="0"/>
    </row>
    <row r="296" s="14" customFormat="true" ht="12.8" hidden="false" customHeight="false" outlineLevel="0" collapsed="false">
      <c r="C296" s="26"/>
      <c r="E296" s="26"/>
      <c r="H296" s="2"/>
      <c r="I296" s="26"/>
      <c r="J296" s="26"/>
      <c r="K296" s="26"/>
      <c r="O296" s="26"/>
      <c r="P296" s="26"/>
      <c r="Q296" s="26"/>
      <c r="R296" s="26"/>
      <c r="S296" s="26"/>
      <c r="T296" s="26"/>
      <c r="U296" s="26"/>
      <c r="W296" s="27"/>
      <c r="AE296" s="26"/>
      <c r="AF296" s="26"/>
      <c r="AG296" s="26"/>
      <c r="AH296" s="26"/>
      <c r="AI296" s="26"/>
      <c r="AJ296" s="26"/>
      <c r="AKX296" s="0"/>
      <c r="AKY296" s="0"/>
      <c r="AKZ296" s="0"/>
      <c r="ALA296" s="0"/>
      <c r="ALB296" s="0"/>
      <c r="ALC296" s="0"/>
      <c r="ALD296" s="0"/>
      <c r="ALE296" s="0"/>
      <c r="ALF296" s="0"/>
      <c r="ALG296" s="0"/>
      <c r="ALH296" s="0"/>
      <c r="ALI296" s="0"/>
      <c r="ALJ296" s="0"/>
      <c r="ALK296" s="0"/>
      <c r="ALL296" s="0"/>
      <c r="ALM296" s="0"/>
      <c r="ALN296" s="0"/>
      <c r="ALO296" s="0"/>
      <c r="ALP296" s="0"/>
      <c r="ALQ296" s="0"/>
      <c r="ALR296" s="0"/>
      <c r="ALS296" s="0"/>
      <c r="ALT296" s="0"/>
      <c r="ALU296" s="0"/>
      <c r="ALV296" s="0"/>
      <c r="ALW296" s="0"/>
      <c r="ALX296" s="0"/>
      <c r="ALY296" s="0"/>
      <c r="ALZ296" s="0"/>
      <c r="AMA296" s="0"/>
      <c r="AMB296" s="0"/>
      <c r="AMC296" s="0"/>
      <c r="AMD296" s="0"/>
      <c r="AME296" s="0"/>
      <c r="AMF296" s="0"/>
      <c r="AMG296" s="0"/>
      <c r="AMH296" s="0"/>
      <c r="AMI296" s="0"/>
      <c r="AMJ296" s="0"/>
    </row>
    <row r="297" s="14" customFormat="true" ht="12.8" hidden="false" customHeight="false" outlineLevel="0" collapsed="false">
      <c r="C297" s="26"/>
      <c r="E297" s="26"/>
      <c r="H297" s="2"/>
      <c r="I297" s="26"/>
      <c r="J297" s="26"/>
      <c r="K297" s="26"/>
      <c r="O297" s="26"/>
      <c r="P297" s="26"/>
      <c r="Q297" s="26"/>
      <c r="R297" s="26"/>
      <c r="S297" s="26"/>
      <c r="T297" s="26"/>
      <c r="U297" s="26"/>
      <c r="W297" s="27"/>
      <c r="AE297" s="26"/>
      <c r="AF297" s="26"/>
      <c r="AG297" s="26"/>
      <c r="AH297" s="26"/>
      <c r="AI297" s="26"/>
      <c r="AJ297" s="26"/>
      <c r="AKX297" s="0"/>
      <c r="AKY297" s="0"/>
      <c r="AKZ297" s="0"/>
      <c r="ALA297" s="0"/>
      <c r="ALB297" s="0"/>
      <c r="ALC297" s="0"/>
      <c r="ALD297" s="0"/>
      <c r="ALE297" s="0"/>
      <c r="ALF297" s="0"/>
      <c r="ALG297" s="0"/>
      <c r="ALH297" s="0"/>
      <c r="ALI297" s="0"/>
      <c r="ALJ297" s="0"/>
      <c r="ALK297" s="0"/>
      <c r="ALL297" s="0"/>
      <c r="ALM297" s="0"/>
      <c r="ALN297" s="0"/>
      <c r="ALO297" s="0"/>
      <c r="ALP297" s="0"/>
      <c r="ALQ297" s="0"/>
      <c r="ALR297" s="0"/>
      <c r="ALS297" s="0"/>
      <c r="ALT297" s="0"/>
      <c r="ALU297" s="0"/>
      <c r="ALV297" s="0"/>
      <c r="ALW297" s="0"/>
      <c r="ALX297" s="0"/>
      <c r="ALY297" s="0"/>
      <c r="ALZ297" s="0"/>
      <c r="AMA297" s="0"/>
      <c r="AMB297" s="0"/>
      <c r="AMC297" s="0"/>
      <c r="AMD297" s="0"/>
      <c r="AME297" s="0"/>
      <c r="AMF297" s="0"/>
      <c r="AMG297" s="0"/>
      <c r="AMH297" s="0"/>
      <c r="AMI297" s="0"/>
      <c r="AMJ297" s="0"/>
    </row>
    <row r="298" s="14" customFormat="true" ht="12.8" hidden="false" customHeight="false" outlineLevel="0" collapsed="false">
      <c r="C298" s="26"/>
      <c r="E298" s="26"/>
      <c r="H298" s="2"/>
      <c r="I298" s="26"/>
      <c r="J298" s="26"/>
      <c r="K298" s="26"/>
      <c r="O298" s="26"/>
      <c r="P298" s="26"/>
      <c r="Q298" s="26"/>
      <c r="R298" s="26"/>
      <c r="S298" s="26"/>
      <c r="T298" s="26"/>
      <c r="U298" s="26"/>
      <c r="W298" s="27"/>
      <c r="AE298" s="26"/>
      <c r="AF298" s="26"/>
      <c r="AG298" s="26"/>
      <c r="AH298" s="26"/>
      <c r="AI298" s="26"/>
      <c r="AJ298" s="26"/>
      <c r="AKX298" s="0"/>
      <c r="AKY298" s="0"/>
      <c r="AKZ298" s="0"/>
      <c r="ALA298" s="0"/>
      <c r="ALB298" s="0"/>
      <c r="ALC298" s="0"/>
      <c r="ALD298" s="0"/>
      <c r="ALE298" s="0"/>
      <c r="ALF298" s="0"/>
      <c r="ALG298" s="0"/>
      <c r="ALH298" s="0"/>
      <c r="ALI298" s="0"/>
      <c r="ALJ298" s="0"/>
      <c r="ALK298" s="0"/>
      <c r="ALL298" s="0"/>
      <c r="ALM298" s="0"/>
      <c r="ALN298" s="0"/>
      <c r="ALO298" s="0"/>
      <c r="ALP298" s="0"/>
      <c r="ALQ298" s="0"/>
      <c r="ALR298" s="0"/>
      <c r="ALS298" s="0"/>
      <c r="ALT298" s="0"/>
      <c r="ALU298" s="0"/>
      <c r="ALV298" s="0"/>
      <c r="ALW298" s="0"/>
      <c r="ALX298" s="0"/>
      <c r="ALY298" s="0"/>
      <c r="ALZ298" s="0"/>
      <c r="AMA298" s="0"/>
      <c r="AMB298" s="0"/>
      <c r="AMC298" s="0"/>
      <c r="AMD298" s="0"/>
      <c r="AME298" s="0"/>
      <c r="AMF298" s="0"/>
      <c r="AMG298" s="0"/>
      <c r="AMH298" s="0"/>
      <c r="AMI298" s="0"/>
      <c r="AMJ298" s="0"/>
    </row>
    <row r="299" s="14" customFormat="true" ht="12.8" hidden="false" customHeight="false" outlineLevel="0" collapsed="false">
      <c r="C299" s="26"/>
      <c r="E299" s="26"/>
      <c r="H299" s="2"/>
      <c r="I299" s="26"/>
      <c r="J299" s="26"/>
      <c r="K299" s="26"/>
      <c r="O299" s="26"/>
      <c r="P299" s="26"/>
      <c r="Q299" s="26"/>
      <c r="R299" s="26"/>
      <c r="S299" s="26"/>
      <c r="T299" s="26"/>
      <c r="U299" s="26"/>
      <c r="W299" s="27"/>
      <c r="AE299" s="26"/>
      <c r="AF299" s="26"/>
      <c r="AG299" s="26"/>
      <c r="AH299" s="26"/>
      <c r="AI299" s="26"/>
      <c r="AJ299" s="26"/>
      <c r="AKX299" s="0"/>
      <c r="AKY299" s="0"/>
      <c r="AKZ299" s="0"/>
      <c r="ALA299" s="0"/>
      <c r="ALB299" s="0"/>
      <c r="ALC299" s="0"/>
      <c r="ALD299" s="0"/>
      <c r="ALE299" s="0"/>
      <c r="ALF299" s="0"/>
      <c r="ALG299" s="0"/>
      <c r="ALH299" s="0"/>
      <c r="ALI299" s="0"/>
      <c r="ALJ299" s="0"/>
      <c r="ALK299" s="0"/>
      <c r="ALL299" s="0"/>
      <c r="ALM299" s="0"/>
      <c r="ALN299" s="0"/>
      <c r="ALO299" s="0"/>
      <c r="ALP299" s="0"/>
      <c r="ALQ299" s="0"/>
      <c r="ALR299" s="0"/>
      <c r="ALS299" s="0"/>
      <c r="ALT299" s="0"/>
      <c r="ALU299" s="0"/>
      <c r="ALV299" s="0"/>
      <c r="ALW299" s="0"/>
      <c r="ALX299" s="0"/>
      <c r="ALY299" s="0"/>
      <c r="ALZ299" s="0"/>
      <c r="AMA299" s="0"/>
      <c r="AMB299" s="0"/>
      <c r="AMC299" s="0"/>
      <c r="AMD299" s="0"/>
      <c r="AME299" s="0"/>
      <c r="AMF299" s="0"/>
      <c r="AMG299" s="0"/>
      <c r="AMH299" s="0"/>
      <c r="AMI299" s="0"/>
      <c r="AMJ299" s="0"/>
    </row>
    <row r="300" s="14" customFormat="true" ht="12.8" hidden="false" customHeight="false" outlineLevel="0" collapsed="false">
      <c r="C300" s="26"/>
      <c r="E300" s="26"/>
      <c r="H300" s="2"/>
      <c r="I300" s="26"/>
      <c r="J300" s="26"/>
      <c r="K300" s="26"/>
      <c r="O300" s="26"/>
      <c r="P300" s="26"/>
      <c r="Q300" s="26"/>
      <c r="R300" s="26"/>
      <c r="S300" s="26"/>
      <c r="T300" s="26"/>
      <c r="U300" s="26"/>
      <c r="W300" s="27"/>
      <c r="AE300" s="26"/>
      <c r="AF300" s="26"/>
      <c r="AG300" s="26"/>
      <c r="AH300" s="26"/>
      <c r="AI300" s="26"/>
      <c r="AJ300" s="26"/>
      <c r="AKX300" s="0"/>
      <c r="AKY300" s="0"/>
      <c r="AKZ300" s="0"/>
      <c r="ALA300" s="0"/>
      <c r="ALB300" s="0"/>
      <c r="ALC300" s="0"/>
      <c r="ALD300" s="0"/>
      <c r="ALE300" s="0"/>
      <c r="ALF300" s="0"/>
      <c r="ALG300" s="0"/>
      <c r="ALH300" s="0"/>
      <c r="ALI300" s="0"/>
      <c r="ALJ300" s="0"/>
      <c r="ALK300" s="0"/>
      <c r="ALL300" s="0"/>
      <c r="ALM300" s="0"/>
      <c r="ALN300" s="0"/>
      <c r="ALO300" s="0"/>
      <c r="ALP300" s="0"/>
      <c r="ALQ300" s="0"/>
      <c r="ALR300" s="0"/>
      <c r="ALS300" s="0"/>
      <c r="ALT300" s="0"/>
      <c r="ALU300" s="0"/>
      <c r="ALV300" s="0"/>
      <c r="ALW300" s="0"/>
      <c r="ALX300" s="0"/>
      <c r="ALY300" s="0"/>
      <c r="ALZ300" s="0"/>
      <c r="AMA300" s="0"/>
      <c r="AMB300" s="0"/>
      <c r="AMC300" s="0"/>
      <c r="AMD300" s="0"/>
      <c r="AME300" s="0"/>
      <c r="AMF300" s="0"/>
      <c r="AMG300" s="0"/>
      <c r="AMH300" s="0"/>
      <c r="AMI300" s="0"/>
      <c r="AMJ300" s="0"/>
    </row>
    <row r="301" s="14" customFormat="true" ht="12.8" hidden="false" customHeight="false" outlineLevel="0" collapsed="false">
      <c r="C301" s="26"/>
      <c r="E301" s="26"/>
      <c r="H301" s="2"/>
      <c r="I301" s="26"/>
      <c r="J301" s="26"/>
      <c r="K301" s="26"/>
      <c r="O301" s="26"/>
      <c r="P301" s="26"/>
      <c r="Q301" s="26"/>
      <c r="R301" s="26"/>
      <c r="S301" s="26"/>
      <c r="T301" s="26"/>
      <c r="U301" s="26"/>
      <c r="W301" s="27"/>
      <c r="AE301" s="26"/>
      <c r="AF301" s="26"/>
      <c r="AG301" s="26"/>
      <c r="AH301" s="26"/>
      <c r="AI301" s="26"/>
      <c r="AJ301" s="26"/>
      <c r="AKX301" s="0"/>
      <c r="AKY301" s="0"/>
      <c r="AKZ301" s="0"/>
      <c r="ALA301" s="0"/>
      <c r="ALB301" s="0"/>
      <c r="ALC301" s="0"/>
      <c r="ALD301" s="0"/>
      <c r="ALE301" s="0"/>
      <c r="ALF301" s="0"/>
      <c r="ALG301" s="0"/>
      <c r="ALH301" s="0"/>
      <c r="ALI301" s="0"/>
      <c r="ALJ301" s="0"/>
      <c r="ALK301" s="0"/>
      <c r="ALL301" s="0"/>
      <c r="ALM301" s="0"/>
      <c r="ALN301" s="0"/>
      <c r="ALO301" s="0"/>
      <c r="ALP301" s="0"/>
      <c r="ALQ301" s="0"/>
      <c r="ALR301" s="0"/>
      <c r="ALS301" s="0"/>
      <c r="ALT301" s="0"/>
      <c r="ALU301" s="0"/>
      <c r="ALV301" s="0"/>
      <c r="ALW301" s="0"/>
      <c r="ALX301" s="0"/>
      <c r="ALY301" s="0"/>
      <c r="ALZ301" s="0"/>
      <c r="AMA301" s="0"/>
      <c r="AMB301" s="0"/>
      <c r="AMC301" s="0"/>
      <c r="AMD301" s="0"/>
      <c r="AME301" s="0"/>
      <c r="AMF301" s="0"/>
      <c r="AMG301" s="0"/>
      <c r="AMH301" s="0"/>
      <c r="AMI301" s="0"/>
      <c r="AMJ301" s="0"/>
    </row>
    <row r="302" s="14" customFormat="true" ht="12.8" hidden="false" customHeight="false" outlineLevel="0" collapsed="false">
      <c r="C302" s="26"/>
      <c r="E302" s="26"/>
      <c r="H302" s="2"/>
      <c r="I302" s="26"/>
      <c r="J302" s="26"/>
      <c r="K302" s="26"/>
      <c r="O302" s="26"/>
      <c r="P302" s="26"/>
      <c r="Q302" s="26"/>
      <c r="R302" s="26"/>
      <c r="S302" s="26"/>
      <c r="T302" s="26"/>
      <c r="U302" s="26"/>
      <c r="W302" s="27"/>
      <c r="AE302" s="26"/>
      <c r="AF302" s="26"/>
      <c r="AG302" s="26"/>
      <c r="AH302" s="26"/>
      <c r="AI302" s="26"/>
      <c r="AJ302" s="26"/>
      <c r="AKX302" s="0"/>
      <c r="AKY302" s="0"/>
      <c r="AKZ302" s="0"/>
      <c r="ALA302" s="0"/>
      <c r="ALB302" s="0"/>
      <c r="ALC302" s="0"/>
      <c r="ALD302" s="0"/>
      <c r="ALE302" s="0"/>
      <c r="ALF302" s="0"/>
      <c r="ALG302" s="0"/>
      <c r="ALH302" s="0"/>
      <c r="ALI302" s="0"/>
      <c r="ALJ302" s="0"/>
      <c r="ALK302" s="0"/>
      <c r="ALL302" s="0"/>
      <c r="ALM302" s="0"/>
      <c r="ALN302" s="0"/>
      <c r="ALO302" s="0"/>
      <c r="ALP302" s="0"/>
      <c r="ALQ302" s="0"/>
      <c r="ALR302" s="0"/>
      <c r="ALS302" s="0"/>
      <c r="ALT302" s="0"/>
      <c r="ALU302" s="0"/>
      <c r="ALV302" s="0"/>
      <c r="ALW302" s="0"/>
      <c r="ALX302" s="0"/>
      <c r="ALY302" s="0"/>
      <c r="ALZ302" s="0"/>
      <c r="AMA302" s="0"/>
      <c r="AMB302" s="0"/>
      <c r="AMC302" s="0"/>
      <c r="AMD302" s="0"/>
      <c r="AME302" s="0"/>
      <c r="AMF302" s="0"/>
      <c r="AMG302" s="0"/>
      <c r="AMH302" s="0"/>
      <c r="AMI302" s="0"/>
      <c r="AMJ302" s="0"/>
    </row>
    <row r="303" s="14" customFormat="true" ht="12.8" hidden="false" customHeight="false" outlineLevel="0" collapsed="false">
      <c r="C303" s="26"/>
      <c r="E303" s="26"/>
      <c r="H303" s="2"/>
      <c r="I303" s="26"/>
      <c r="J303" s="26"/>
      <c r="K303" s="26"/>
      <c r="O303" s="26"/>
      <c r="P303" s="26"/>
      <c r="Q303" s="26"/>
      <c r="R303" s="26"/>
      <c r="S303" s="26"/>
      <c r="T303" s="26"/>
      <c r="U303" s="26"/>
      <c r="W303" s="27"/>
      <c r="AE303" s="26"/>
      <c r="AF303" s="26"/>
      <c r="AG303" s="26"/>
      <c r="AH303" s="26"/>
      <c r="AI303" s="26"/>
      <c r="AJ303" s="26"/>
      <c r="AKX303" s="0"/>
      <c r="AKY303" s="0"/>
      <c r="AKZ303" s="0"/>
      <c r="ALA303" s="0"/>
      <c r="ALB303" s="0"/>
      <c r="ALC303" s="0"/>
      <c r="ALD303" s="0"/>
      <c r="ALE303" s="0"/>
      <c r="ALF303" s="0"/>
      <c r="ALG303" s="0"/>
      <c r="ALH303" s="0"/>
      <c r="ALI303" s="0"/>
      <c r="ALJ303" s="0"/>
      <c r="ALK303" s="0"/>
      <c r="ALL303" s="0"/>
      <c r="ALM303" s="0"/>
      <c r="ALN303" s="0"/>
      <c r="ALO303" s="0"/>
      <c r="ALP303" s="0"/>
      <c r="ALQ303" s="0"/>
      <c r="ALR303" s="0"/>
      <c r="ALS303" s="0"/>
      <c r="ALT303" s="0"/>
      <c r="ALU303" s="0"/>
      <c r="ALV303" s="0"/>
      <c r="ALW303" s="0"/>
      <c r="ALX303" s="0"/>
      <c r="ALY303" s="0"/>
      <c r="ALZ303" s="0"/>
      <c r="AMA303" s="0"/>
      <c r="AMB303" s="0"/>
      <c r="AMC303" s="0"/>
      <c r="AMD303" s="0"/>
      <c r="AME303" s="0"/>
      <c r="AMF303" s="0"/>
      <c r="AMG303" s="0"/>
      <c r="AMH303" s="0"/>
      <c r="AMI303" s="0"/>
      <c r="AMJ303" s="0"/>
    </row>
    <row r="304" s="14" customFormat="true" ht="12.8" hidden="false" customHeight="false" outlineLevel="0" collapsed="false">
      <c r="C304" s="26"/>
      <c r="E304" s="26"/>
      <c r="H304" s="2"/>
      <c r="I304" s="26"/>
      <c r="J304" s="26"/>
      <c r="K304" s="26"/>
      <c r="O304" s="26"/>
      <c r="P304" s="26"/>
      <c r="Q304" s="26"/>
      <c r="R304" s="26"/>
      <c r="S304" s="26"/>
      <c r="T304" s="26"/>
      <c r="U304" s="26"/>
      <c r="W304" s="27"/>
      <c r="AE304" s="26"/>
      <c r="AF304" s="26"/>
      <c r="AG304" s="26"/>
      <c r="AH304" s="26"/>
      <c r="AI304" s="26"/>
      <c r="AJ304" s="26"/>
      <c r="AKX304" s="0"/>
      <c r="AKY304" s="0"/>
      <c r="AKZ304" s="0"/>
      <c r="ALA304" s="0"/>
      <c r="ALB304" s="0"/>
      <c r="ALC304" s="0"/>
      <c r="ALD304" s="0"/>
      <c r="ALE304" s="0"/>
      <c r="ALF304" s="0"/>
      <c r="ALG304" s="0"/>
      <c r="ALH304" s="0"/>
      <c r="ALI304" s="0"/>
      <c r="ALJ304" s="0"/>
      <c r="ALK304" s="0"/>
      <c r="ALL304" s="0"/>
      <c r="ALM304" s="0"/>
      <c r="ALN304" s="0"/>
      <c r="ALO304" s="0"/>
      <c r="ALP304" s="0"/>
      <c r="ALQ304" s="0"/>
      <c r="ALR304" s="0"/>
      <c r="ALS304" s="0"/>
      <c r="ALT304" s="0"/>
      <c r="ALU304" s="0"/>
      <c r="ALV304" s="0"/>
      <c r="ALW304" s="0"/>
      <c r="ALX304" s="0"/>
      <c r="ALY304" s="0"/>
      <c r="ALZ304" s="0"/>
      <c r="AMA304" s="0"/>
      <c r="AMB304" s="0"/>
      <c r="AMC304" s="0"/>
      <c r="AMD304" s="0"/>
      <c r="AME304" s="0"/>
      <c r="AMF304" s="0"/>
      <c r="AMG304" s="0"/>
      <c r="AMH304" s="0"/>
      <c r="AMI304" s="0"/>
      <c r="AMJ304" s="0"/>
    </row>
    <row r="305" s="14" customFormat="true" ht="12.8" hidden="false" customHeight="false" outlineLevel="0" collapsed="false">
      <c r="C305" s="26"/>
      <c r="E305" s="26"/>
      <c r="H305" s="2"/>
      <c r="I305" s="26"/>
      <c r="J305" s="26"/>
      <c r="K305" s="26"/>
      <c r="O305" s="26"/>
      <c r="P305" s="26"/>
      <c r="Q305" s="26"/>
      <c r="R305" s="26"/>
      <c r="S305" s="26"/>
      <c r="T305" s="26"/>
      <c r="U305" s="26"/>
      <c r="W305" s="27"/>
      <c r="AE305" s="26"/>
      <c r="AF305" s="26"/>
      <c r="AG305" s="26"/>
      <c r="AH305" s="26"/>
      <c r="AI305" s="26"/>
      <c r="AJ305" s="26"/>
      <c r="AKX305" s="0"/>
      <c r="AKY305" s="0"/>
      <c r="AKZ305" s="0"/>
      <c r="ALA305" s="0"/>
      <c r="ALB305" s="0"/>
      <c r="ALC305" s="0"/>
      <c r="ALD305" s="0"/>
      <c r="ALE305" s="0"/>
      <c r="ALF305" s="0"/>
      <c r="ALG305" s="0"/>
      <c r="ALH305" s="0"/>
      <c r="ALI305" s="0"/>
      <c r="ALJ305" s="0"/>
      <c r="ALK305" s="0"/>
      <c r="ALL305" s="0"/>
      <c r="ALM305" s="0"/>
      <c r="ALN305" s="0"/>
      <c r="ALO305" s="0"/>
      <c r="ALP305" s="0"/>
      <c r="ALQ305" s="0"/>
      <c r="ALR305" s="0"/>
      <c r="ALS305" s="0"/>
      <c r="ALT305" s="0"/>
      <c r="ALU305" s="0"/>
      <c r="ALV305" s="0"/>
      <c r="ALW305" s="0"/>
      <c r="ALX305" s="0"/>
      <c r="ALY305" s="0"/>
      <c r="ALZ305" s="0"/>
      <c r="AMA305" s="0"/>
      <c r="AMB305" s="0"/>
      <c r="AMC305" s="0"/>
      <c r="AMD305" s="0"/>
      <c r="AME305" s="0"/>
      <c r="AMF305" s="0"/>
      <c r="AMG305" s="0"/>
      <c r="AMH305" s="0"/>
      <c r="AMI305" s="0"/>
      <c r="AMJ305" s="0"/>
    </row>
    <row r="306" s="14" customFormat="true" ht="12.8" hidden="false" customHeight="false" outlineLevel="0" collapsed="false">
      <c r="C306" s="26"/>
      <c r="E306" s="26"/>
      <c r="H306" s="2"/>
      <c r="I306" s="26"/>
      <c r="J306" s="26"/>
      <c r="K306" s="26"/>
      <c r="O306" s="26"/>
      <c r="P306" s="26"/>
      <c r="Q306" s="26"/>
      <c r="R306" s="26"/>
      <c r="S306" s="26"/>
      <c r="T306" s="26"/>
      <c r="U306" s="26"/>
      <c r="W306" s="27"/>
      <c r="AE306" s="26"/>
      <c r="AF306" s="26"/>
      <c r="AG306" s="26"/>
      <c r="AH306" s="26"/>
      <c r="AI306" s="26"/>
      <c r="AJ306" s="26"/>
      <c r="AKX306" s="0"/>
      <c r="AKY306" s="0"/>
      <c r="AKZ306" s="0"/>
      <c r="ALA306" s="0"/>
      <c r="ALB306" s="0"/>
      <c r="ALC306" s="0"/>
      <c r="ALD306" s="0"/>
      <c r="ALE306" s="0"/>
      <c r="ALF306" s="0"/>
      <c r="ALG306" s="0"/>
      <c r="ALH306" s="0"/>
      <c r="ALI306" s="0"/>
      <c r="ALJ306" s="0"/>
      <c r="ALK306" s="0"/>
      <c r="ALL306" s="0"/>
      <c r="ALM306" s="0"/>
      <c r="ALN306" s="0"/>
      <c r="ALO306" s="0"/>
      <c r="ALP306" s="0"/>
      <c r="ALQ306" s="0"/>
      <c r="ALR306" s="0"/>
      <c r="ALS306" s="0"/>
      <c r="ALT306" s="0"/>
      <c r="ALU306" s="0"/>
      <c r="ALV306" s="0"/>
      <c r="ALW306" s="0"/>
      <c r="ALX306" s="0"/>
      <c r="ALY306" s="0"/>
      <c r="ALZ306" s="0"/>
      <c r="AMA306" s="0"/>
      <c r="AMB306" s="0"/>
      <c r="AMC306" s="0"/>
      <c r="AMD306" s="0"/>
      <c r="AME306" s="0"/>
      <c r="AMF306" s="0"/>
      <c r="AMG306" s="0"/>
      <c r="AMH306" s="0"/>
      <c r="AMI306" s="0"/>
      <c r="AMJ306" s="0"/>
    </row>
    <row r="307" s="14" customFormat="true" ht="12.8" hidden="false" customHeight="false" outlineLevel="0" collapsed="false">
      <c r="C307" s="26"/>
      <c r="E307" s="26"/>
      <c r="H307" s="2"/>
      <c r="I307" s="26"/>
      <c r="J307" s="26"/>
      <c r="K307" s="26"/>
      <c r="O307" s="26"/>
      <c r="P307" s="26"/>
      <c r="Q307" s="26"/>
      <c r="R307" s="26"/>
      <c r="S307" s="26"/>
      <c r="T307" s="26"/>
      <c r="U307" s="26"/>
      <c r="W307" s="27"/>
      <c r="AE307" s="26"/>
      <c r="AF307" s="26"/>
      <c r="AG307" s="26"/>
      <c r="AH307" s="26"/>
      <c r="AI307" s="26"/>
      <c r="AJ307" s="26"/>
      <c r="AKX307" s="0"/>
      <c r="AKY307" s="0"/>
      <c r="AKZ307" s="0"/>
      <c r="ALA307" s="0"/>
      <c r="ALB307" s="0"/>
      <c r="ALC307" s="0"/>
      <c r="ALD307" s="0"/>
      <c r="ALE307" s="0"/>
      <c r="ALF307" s="0"/>
      <c r="ALG307" s="0"/>
      <c r="ALH307" s="0"/>
      <c r="ALI307" s="0"/>
      <c r="ALJ307" s="0"/>
      <c r="ALK307" s="0"/>
      <c r="ALL307" s="0"/>
      <c r="ALM307" s="0"/>
      <c r="ALN307" s="0"/>
      <c r="ALO307" s="0"/>
      <c r="ALP307" s="0"/>
      <c r="ALQ307" s="0"/>
      <c r="ALR307" s="0"/>
      <c r="ALS307" s="0"/>
      <c r="ALT307" s="0"/>
      <c r="ALU307" s="0"/>
      <c r="ALV307" s="0"/>
      <c r="ALW307" s="0"/>
      <c r="ALX307" s="0"/>
      <c r="ALY307" s="0"/>
      <c r="ALZ307" s="0"/>
      <c r="AMA307" s="0"/>
      <c r="AMB307" s="0"/>
      <c r="AMC307" s="0"/>
      <c r="AMD307" s="0"/>
      <c r="AME307" s="0"/>
      <c r="AMF307" s="0"/>
      <c r="AMG307" s="0"/>
      <c r="AMH307" s="0"/>
      <c r="AMI307" s="0"/>
      <c r="AMJ307" s="0"/>
    </row>
    <row r="308" s="14" customFormat="true" ht="12.8" hidden="false" customHeight="false" outlineLevel="0" collapsed="false">
      <c r="C308" s="26"/>
      <c r="E308" s="26"/>
      <c r="H308" s="2"/>
      <c r="I308" s="26"/>
      <c r="J308" s="26"/>
      <c r="K308" s="26"/>
      <c r="O308" s="26"/>
      <c r="P308" s="26"/>
      <c r="Q308" s="26"/>
      <c r="R308" s="26"/>
      <c r="S308" s="26"/>
      <c r="T308" s="26"/>
      <c r="U308" s="26"/>
      <c r="W308" s="27"/>
      <c r="AE308" s="26"/>
      <c r="AF308" s="26"/>
      <c r="AG308" s="26"/>
      <c r="AH308" s="26"/>
      <c r="AI308" s="26"/>
      <c r="AJ308" s="26"/>
      <c r="AKX308" s="0"/>
      <c r="AKY308" s="0"/>
      <c r="AKZ308" s="0"/>
      <c r="ALA308" s="0"/>
      <c r="ALB308" s="0"/>
      <c r="ALC308" s="0"/>
      <c r="ALD308" s="0"/>
      <c r="ALE308" s="0"/>
      <c r="ALF308" s="0"/>
      <c r="ALG308" s="0"/>
      <c r="ALH308" s="0"/>
      <c r="ALI308" s="0"/>
      <c r="ALJ308" s="0"/>
      <c r="ALK308" s="0"/>
      <c r="ALL308" s="0"/>
      <c r="ALM308" s="0"/>
      <c r="ALN308" s="0"/>
      <c r="ALO308" s="0"/>
      <c r="ALP308" s="0"/>
      <c r="ALQ308" s="0"/>
      <c r="ALR308" s="0"/>
      <c r="ALS308" s="0"/>
      <c r="ALT308" s="0"/>
      <c r="ALU308" s="0"/>
      <c r="ALV308" s="0"/>
      <c r="ALW308" s="0"/>
      <c r="ALX308" s="0"/>
      <c r="ALY308" s="0"/>
      <c r="ALZ308" s="0"/>
      <c r="AMA308" s="0"/>
      <c r="AMB308" s="0"/>
      <c r="AMC308" s="0"/>
      <c r="AMD308" s="0"/>
      <c r="AME308" s="0"/>
      <c r="AMF308" s="0"/>
      <c r="AMG308" s="0"/>
      <c r="AMH308" s="0"/>
      <c r="AMI308" s="0"/>
      <c r="AMJ308" s="0"/>
    </row>
    <row r="309" s="14" customFormat="true" ht="12.8" hidden="false" customHeight="false" outlineLevel="0" collapsed="false">
      <c r="C309" s="26"/>
      <c r="E309" s="26"/>
      <c r="H309" s="2"/>
      <c r="I309" s="26"/>
      <c r="J309" s="26"/>
      <c r="K309" s="26"/>
      <c r="O309" s="26"/>
      <c r="P309" s="26"/>
      <c r="Q309" s="26"/>
      <c r="R309" s="26"/>
      <c r="S309" s="26"/>
      <c r="T309" s="26"/>
      <c r="U309" s="26"/>
      <c r="W309" s="27"/>
      <c r="AE309" s="26"/>
      <c r="AF309" s="26"/>
      <c r="AG309" s="26"/>
      <c r="AH309" s="26"/>
      <c r="AI309" s="26"/>
      <c r="AJ309" s="26"/>
      <c r="AKX309" s="0"/>
      <c r="AKY309" s="0"/>
      <c r="AKZ309" s="0"/>
      <c r="ALA309" s="0"/>
      <c r="ALB309" s="0"/>
      <c r="ALC309" s="0"/>
      <c r="ALD309" s="0"/>
      <c r="ALE309" s="0"/>
      <c r="ALF309" s="0"/>
      <c r="ALG309" s="0"/>
      <c r="ALH309" s="0"/>
      <c r="ALI309" s="0"/>
      <c r="ALJ309" s="0"/>
      <c r="ALK309" s="0"/>
      <c r="ALL309" s="0"/>
      <c r="ALM309" s="0"/>
      <c r="ALN309" s="0"/>
      <c r="ALO309" s="0"/>
      <c r="ALP309" s="0"/>
      <c r="ALQ309" s="0"/>
      <c r="ALR309" s="0"/>
      <c r="ALS309" s="0"/>
      <c r="ALT309" s="0"/>
      <c r="ALU309" s="0"/>
      <c r="ALV309" s="0"/>
      <c r="ALW309" s="0"/>
      <c r="ALX309" s="0"/>
      <c r="ALY309" s="0"/>
      <c r="ALZ309" s="0"/>
      <c r="AMA309" s="0"/>
      <c r="AMB309" s="0"/>
      <c r="AMC309" s="0"/>
      <c r="AMD309" s="0"/>
      <c r="AME309" s="0"/>
      <c r="AMF309" s="0"/>
      <c r="AMG309" s="0"/>
      <c r="AMH309" s="0"/>
      <c r="AMI309" s="0"/>
      <c r="AMJ309" s="0"/>
    </row>
    <row r="310" s="14" customFormat="true" ht="12.8" hidden="false" customHeight="false" outlineLevel="0" collapsed="false">
      <c r="C310" s="26"/>
      <c r="E310" s="26"/>
      <c r="H310" s="2"/>
      <c r="I310" s="26"/>
      <c r="J310" s="26"/>
      <c r="K310" s="26"/>
      <c r="O310" s="26"/>
      <c r="P310" s="26"/>
      <c r="Q310" s="26"/>
      <c r="R310" s="26"/>
      <c r="S310" s="26"/>
      <c r="T310" s="26"/>
      <c r="U310" s="26"/>
      <c r="W310" s="27"/>
      <c r="AE310" s="26"/>
      <c r="AF310" s="26"/>
      <c r="AG310" s="26"/>
      <c r="AH310" s="26"/>
      <c r="AI310" s="26"/>
      <c r="AJ310" s="26"/>
      <c r="AKX310" s="0"/>
      <c r="AKY310" s="0"/>
      <c r="AKZ310" s="0"/>
      <c r="ALA310" s="0"/>
      <c r="ALB310" s="0"/>
      <c r="ALC310" s="0"/>
      <c r="ALD310" s="0"/>
      <c r="ALE310" s="0"/>
      <c r="ALF310" s="0"/>
      <c r="ALG310" s="0"/>
      <c r="ALH310" s="0"/>
      <c r="ALI310" s="0"/>
      <c r="ALJ310" s="0"/>
      <c r="ALK310" s="0"/>
      <c r="ALL310" s="0"/>
      <c r="ALM310" s="0"/>
      <c r="ALN310" s="0"/>
      <c r="ALO310" s="0"/>
      <c r="ALP310" s="0"/>
      <c r="ALQ310" s="0"/>
      <c r="ALR310" s="0"/>
      <c r="ALS310" s="0"/>
      <c r="ALT310" s="0"/>
      <c r="ALU310" s="0"/>
      <c r="ALV310" s="0"/>
      <c r="ALW310" s="0"/>
      <c r="ALX310" s="0"/>
      <c r="ALY310" s="0"/>
      <c r="ALZ310" s="0"/>
      <c r="AMA310" s="0"/>
      <c r="AMB310" s="0"/>
      <c r="AMC310" s="0"/>
      <c r="AMD310" s="0"/>
      <c r="AME310" s="0"/>
      <c r="AMF310" s="0"/>
      <c r="AMG310" s="0"/>
      <c r="AMH310" s="0"/>
      <c r="AMI310" s="0"/>
      <c r="AMJ310" s="0"/>
    </row>
    <row r="311" s="14" customFormat="true" ht="12.8" hidden="false" customHeight="false" outlineLevel="0" collapsed="false">
      <c r="C311" s="26"/>
      <c r="E311" s="26"/>
      <c r="H311" s="2"/>
      <c r="I311" s="26"/>
      <c r="J311" s="26"/>
      <c r="K311" s="26"/>
      <c r="O311" s="26"/>
      <c r="P311" s="26"/>
      <c r="Q311" s="26"/>
      <c r="R311" s="26"/>
      <c r="S311" s="26"/>
      <c r="T311" s="26"/>
      <c r="U311" s="26"/>
      <c r="W311" s="27"/>
      <c r="AE311" s="26"/>
      <c r="AF311" s="26"/>
      <c r="AG311" s="26"/>
      <c r="AH311" s="26"/>
      <c r="AI311" s="26"/>
      <c r="AJ311" s="26"/>
      <c r="AKX311" s="0"/>
      <c r="AKY311" s="0"/>
      <c r="AKZ311" s="0"/>
      <c r="ALA311" s="0"/>
      <c r="ALB311" s="0"/>
      <c r="ALC311" s="0"/>
      <c r="ALD311" s="0"/>
      <c r="ALE311" s="0"/>
      <c r="ALF311" s="0"/>
      <c r="ALG311" s="0"/>
      <c r="ALH311" s="0"/>
      <c r="ALI311" s="0"/>
      <c r="ALJ311" s="0"/>
      <c r="ALK311" s="0"/>
      <c r="ALL311" s="0"/>
      <c r="ALM311" s="0"/>
      <c r="ALN311" s="0"/>
      <c r="ALO311" s="0"/>
      <c r="ALP311" s="0"/>
      <c r="ALQ311" s="0"/>
      <c r="ALR311" s="0"/>
      <c r="ALS311" s="0"/>
      <c r="ALT311" s="0"/>
      <c r="ALU311" s="0"/>
      <c r="ALV311" s="0"/>
      <c r="ALW311" s="0"/>
      <c r="ALX311" s="0"/>
      <c r="ALY311" s="0"/>
      <c r="ALZ311" s="0"/>
      <c r="AMA311" s="0"/>
      <c r="AMB311" s="0"/>
      <c r="AMC311" s="0"/>
      <c r="AMD311" s="0"/>
      <c r="AME311" s="0"/>
      <c r="AMF311" s="0"/>
      <c r="AMG311" s="0"/>
      <c r="AMH311" s="0"/>
      <c r="AMI311" s="0"/>
      <c r="AMJ311" s="0"/>
    </row>
    <row r="312" s="14" customFormat="true" ht="12.8" hidden="false" customHeight="false" outlineLevel="0" collapsed="false">
      <c r="C312" s="26"/>
      <c r="E312" s="26"/>
      <c r="H312" s="2"/>
      <c r="I312" s="26"/>
      <c r="J312" s="26"/>
      <c r="K312" s="26"/>
      <c r="O312" s="26"/>
      <c r="P312" s="26"/>
      <c r="Q312" s="26"/>
      <c r="R312" s="26"/>
      <c r="S312" s="26"/>
      <c r="T312" s="26"/>
      <c r="U312" s="26"/>
      <c r="W312" s="27"/>
      <c r="AE312" s="26"/>
      <c r="AF312" s="26"/>
      <c r="AG312" s="26"/>
      <c r="AH312" s="26"/>
      <c r="AI312" s="26"/>
      <c r="AJ312" s="26"/>
      <c r="AKX312" s="0"/>
      <c r="AKY312" s="0"/>
      <c r="AKZ312" s="0"/>
      <c r="ALA312" s="0"/>
      <c r="ALB312" s="0"/>
      <c r="ALC312" s="0"/>
      <c r="ALD312" s="0"/>
      <c r="ALE312" s="0"/>
      <c r="ALF312" s="0"/>
      <c r="ALG312" s="0"/>
      <c r="ALH312" s="0"/>
      <c r="ALI312" s="0"/>
      <c r="ALJ312" s="0"/>
      <c r="ALK312" s="0"/>
      <c r="ALL312" s="0"/>
      <c r="ALM312" s="0"/>
      <c r="ALN312" s="0"/>
      <c r="ALO312" s="0"/>
      <c r="ALP312" s="0"/>
      <c r="ALQ312" s="0"/>
      <c r="ALR312" s="0"/>
      <c r="ALS312" s="0"/>
      <c r="ALT312" s="0"/>
      <c r="ALU312" s="0"/>
      <c r="ALV312" s="0"/>
      <c r="ALW312" s="0"/>
      <c r="ALX312" s="0"/>
      <c r="ALY312" s="0"/>
      <c r="ALZ312" s="0"/>
      <c r="AMA312" s="0"/>
      <c r="AMB312" s="0"/>
      <c r="AMC312" s="0"/>
      <c r="AMD312" s="0"/>
      <c r="AME312" s="0"/>
      <c r="AMF312" s="0"/>
      <c r="AMG312" s="0"/>
      <c r="AMH312" s="0"/>
      <c r="AMI312" s="0"/>
      <c r="AMJ312" s="0"/>
    </row>
    <row r="313" s="14" customFormat="true" ht="12.8" hidden="false" customHeight="false" outlineLevel="0" collapsed="false">
      <c r="C313" s="26"/>
      <c r="E313" s="26"/>
      <c r="H313" s="2"/>
      <c r="I313" s="26"/>
      <c r="J313" s="26"/>
      <c r="K313" s="26"/>
      <c r="O313" s="26"/>
      <c r="P313" s="26"/>
      <c r="Q313" s="26"/>
      <c r="R313" s="26"/>
      <c r="S313" s="26"/>
      <c r="T313" s="26"/>
      <c r="U313" s="26"/>
      <c r="W313" s="27"/>
      <c r="AE313" s="26"/>
      <c r="AF313" s="26"/>
      <c r="AG313" s="26"/>
      <c r="AH313" s="26"/>
      <c r="AI313" s="26"/>
      <c r="AJ313" s="26"/>
      <c r="AKX313" s="0"/>
      <c r="AKY313" s="0"/>
      <c r="AKZ313" s="0"/>
      <c r="ALA313" s="0"/>
      <c r="ALB313" s="0"/>
      <c r="ALC313" s="0"/>
      <c r="ALD313" s="0"/>
      <c r="ALE313" s="0"/>
      <c r="ALF313" s="0"/>
      <c r="ALG313" s="0"/>
      <c r="ALH313" s="0"/>
      <c r="ALI313" s="0"/>
      <c r="ALJ313" s="0"/>
      <c r="ALK313" s="0"/>
      <c r="ALL313" s="0"/>
      <c r="ALM313" s="0"/>
      <c r="ALN313" s="0"/>
      <c r="ALO313" s="0"/>
      <c r="ALP313" s="0"/>
      <c r="ALQ313" s="0"/>
      <c r="ALR313" s="0"/>
      <c r="ALS313" s="0"/>
      <c r="ALT313" s="0"/>
      <c r="ALU313" s="0"/>
      <c r="ALV313" s="0"/>
      <c r="ALW313" s="0"/>
      <c r="ALX313" s="0"/>
      <c r="ALY313" s="0"/>
      <c r="ALZ313" s="0"/>
      <c r="AMA313" s="0"/>
      <c r="AMB313" s="0"/>
      <c r="AMC313" s="0"/>
      <c r="AMD313" s="0"/>
      <c r="AME313" s="0"/>
      <c r="AMF313" s="0"/>
      <c r="AMG313" s="0"/>
      <c r="AMH313" s="0"/>
      <c r="AMI313" s="0"/>
      <c r="AMJ313" s="0"/>
    </row>
    <row r="314" s="14" customFormat="true" ht="12.8" hidden="false" customHeight="false" outlineLevel="0" collapsed="false">
      <c r="C314" s="26"/>
      <c r="E314" s="26"/>
      <c r="H314" s="2"/>
      <c r="I314" s="26"/>
      <c r="J314" s="26"/>
      <c r="K314" s="26"/>
      <c r="O314" s="26"/>
      <c r="P314" s="26"/>
      <c r="Q314" s="26"/>
      <c r="R314" s="26"/>
      <c r="S314" s="26"/>
      <c r="T314" s="26"/>
      <c r="U314" s="26"/>
      <c r="W314" s="27"/>
      <c r="AE314" s="26"/>
      <c r="AF314" s="26"/>
      <c r="AG314" s="26"/>
      <c r="AH314" s="26"/>
      <c r="AI314" s="26"/>
      <c r="AJ314" s="26"/>
      <c r="AKX314" s="0"/>
      <c r="AKY314" s="0"/>
      <c r="AKZ314" s="0"/>
      <c r="ALA314" s="0"/>
      <c r="ALB314" s="0"/>
      <c r="ALC314" s="0"/>
      <c r="ALD314" s="0"/>
      <c r="ALE314" s="0"/>
      <c r="ALF314" s="0"/>
      <c r="ALG314" s="0"/>
      <c r="ALH314" s="0"/>
      <c r="ALI314" s="0"/>
      <c r="ALJ314" s="0"/>
      <c r="ALK314" s="0"/>
      <c r="ALL314" s="0"/>
      <c r="ALM314" s="0"/>
      <c r="ALN314" s="0"/>
      <c r="ALO314" s="0"/>
      <c r="ALP314" s="0"/>
      <c r="ALQ314" s="0"/>
      <c r="ALR314" s="0"/>
      <c r="ALS314" s="0"/>
      <c r="ALT314" s="0"/>
      <c r="ALU314" s="0"/>
      <c r="ALV314" s="0"/>
      <c r="ALW314" s="0"/>
      <c r="ALX314" s="0"/>
      <c r="ALY314" s="0"/>
      <c r="ALZ314" s="0"/>
      <c r="AMA314" s="0"/>
      <c r="AMB314" s="0"/>
      <c r="AMC314" s="0"/>
      <c r="AMD314" s="0"/>
      <c r="AME314" s="0"/>
      <c r="AMF314" s="0"/>
      <c r="AMG314" s="0"/>
      <c r="AMH314" s="0"/>
      <c r="AMI314" s="0"/>
      <c r="AMJ314" s="0"/>
    </row>
    <row r="315" s="14" customFormat="true" ht="12.8" hidden="false" customHeight="false" outlineLevel="0" collapsed="false">
      <c r="C315" s="26"/>
      <c r="E315" s="26"/>
      <c r="H315" s="2"/>
      <c r="I315" s="26"/>
      <c r="J315" s="26"/>
      <c r="K315" s="26"/>
      <c r="O315" s="26"/>
      <c r="P315" s="26"/>
      <c r="Q315" s="26"/>
      <c r="R315" s="26"/>
      <c r="S315" s="26"/>
      <c r="T315" s="26"/>
      <c r="U315" s="26"/>
      <c r="W315" s="27"/>
      <c r="AE315" s="26"/>
      <c r="AF315" s="26"/>
      <c r="AG315" s="26"/>
      <c r="AH315" s="26"/>
      <c r="AI315" s="26"/>
      <c r="AJ315" s="26"/>
      <c r="AKX315" s="0"/>
      <c r="AKY315" s="0"/>
      <c r="AKZ315" s="0"/>
      <c r="ALA315" s="0"/>
      <c r="ALB315" s="0"/>
      <c r="ALC315" s="0"/>
      <c r="ALD315" s="0"/>
      <c r="ALE315" s="0"/>
      <c r="ALF315" s="0"/>
      <c r="ALG315" s="0"/>
      <c r="ALH315" s="0"/>
      <c r="ALI315" s="0"/>
      <c r="ALJ315" s="0"/>
      <c r="ALK315" s="0"/>
      <c r="ALL315" s="0"/>
      <c r="ALM315" s="0"/>
      <c r="ALN315" s="0"/>
      <c r="ALO315" s="0"/>
      <c r="ALP315" s="0"/>
      <c r="ALQ315" s="0"/>
      <c r="ALR315" s="0"/>
      <c r="ALS315" s="0"/>
      <c r="ALT315" s="0"/>
      <c r="ALU315" s="0"/>
      <c r="ALV315" s="0"/>
      <c r="ALW315" s="0"/>
      <c r="ALX315" s="0"/>
      <c r="ALY315" s="0"/>
      <c r="ALZ315" s="0"/>
      <c r="AMA315" s="0"/>
      <c r="AMB315" s="0"/>
      <c r="AMC315" s="0"/>
      <c r="AMD315" s="0"/>
      <c r="AME315" s="0"/>
      <c r="AMF315" s="0"/>
      <c r="AMG315" s="0"/>
      <c r="AMH315" s="0"/>
      <c r="AMI315" s="0"/>
      <c r="AMJ315" s="0"/>
    </row>
    <row r="316" s="14" customFormat="true" ht="12.8" hidden="false" customHeight="false" outlineLevel="0" collapsed="false">
      <c r="C316" s="26"/>
      <c r="E316" s="26"/>
      <c r="H316" s="2"/>
      <c r="I316" s="26"/>
      <c r="J316" s="26"/>
      <c r="K316" s="26"/>
      <c r="O316" s="26"/>
      <c r="P316" s="26"/>
      <c r="Q316" s="26"/>
      <c r="R316" s="26"/>
      <c r="S316" s="26"/>
      <c r="T316" s="26"/>
      <c r="U316" s="26"/>
      <c r="W316" s="27"/>
      <c r="AE316" s="26"/>
      <c r="AF316" s="26"/>
      <c r="AG316" s="26"/>
      <c r="AH316" s="26"/>
      <c r="AI316" s="26"/>
      <c r="AJ316" s="26"/>
      <c r="AKX316" s="0"/>
      <c r="AKY316" s="0"/>
      <c r="AKZ316" s="0"/>
      <c r="ALA316" s="0"/>
      <c r="ALB316" s="0"/>
      <c r="ALC316" s="0"/>
      <c r="ALD316" s="0"/>
      <c r="ALE316" s="0"/>
      <c r="ALF316" s="0"/>
      <c r="ALG316" s="0"/>
      <c r="ALH316" s="0"/>
      <c r="ALI316" s="0"/>
      <c r="ALJ316" s="0"/>
      <c r="ALK316" s="0"/>
      <c r="ALL316" s="0"/>
      <c r="ALM316" s="0"/>
      <c r="ALN316" s="0"/>
      <c r="ALO316" s="0"/>
      <c r="ALP316" s="0"/>
      <c r="ALQ316" s="0"/>
      <c r="ALR316" s="0"/>
      <c r="ALS316" s="0"/>
      <c r="ALT316" s="0"/>
      <c r="ALU316" s="0"/>
      <c r="ALV316" s="0"/>
      <c r="ALW316" s="0"/>
      <c r="ALX316" s="0"/>
      <c r="ALY316" s="0"/>
      <c r="ALZ316" s="0"/>
      <c r="AMA316" s="0"/>
      <c r="AMB316" s="0"/>
      <c r="AMC316" s="0"/>
      <c r="AMD316" s="0"/>
      <c r="AME316" s="0"/>
      <c r="AMF316" s="0"/>
      <c r="AMG316" s="0"/>
      <c r="AMH316" s="0"/>
      <c r="AMI316" s="0"/>
      <c r="AMJ316" s="0"/>
    </row>
    <row r="317" s="14" customFormat="true" ht="12.8" hidden="false" customHeight="false" outlineLevel="0" collapsed="false">
      <c r="C317" s="26"/>
      <c r="E317" s="26"/>
      <c r="H317" s="2"/>
      <c r="I317" s="26"/>
      <c r="J317" s="26"/>
      <c r="K317" s="26"/>
      <c r="O317" s="26"/>
      <c r="P317" s="26"/>
      <c r="Q317" s="26"/>
      <c r="R317" s="26"/>
      <c r="S317" s="26"/>
      <c r="T317" s="26"/>
      <c r="U317" s="26"/>
      <c r="W317" s="27"/>
      <c r="AE317" s="26"/>
      <c r="AF317" s="26"/>
      <c r="AG317" s="26"/>
      <c r="AH317" s="26"/>
      <c r="AI317" s="26"/>
      <c r="AJ317" s="26"/>
      <c r="AKX317" s="0"/>
      <c r="AKY317" s="0"/>
      <c r="AKZ317" s="0"/>
      <c r="ALA317" s="0"/>
      <c r="ALB317" s="0"/>
      <c r="ALC317" s="0"/>
      <c r="ALD317" s="0"/>
      <c r="ALE317" s="0"/>
      <c r="ALF317" s="0"/>
      <c r="ALG317" s="0"/>
      <c r="ALH317" s="0"/>
      <c r="ALI317" s="0"/>
      <c r="ALJ317" s="0"/>
      <c r="ALK317" s="0"/>
      <c r="ALL317" s="0"/>
      <c r="ALM317" s="0"/>
      <c r="ALN317" s="0"/>
      <c r="ALO317" s="0"/>
      <c r="ALP317" s="0"/>
      <c r="ALQ317" s="0"/>
      <c r="ALR317" s="0"/>
      <c r="ALS317" s="0"/>
      <c r="ALT317" s="0"/>
      <c r="ALU317" s="0"/>
      <c r="ALV317" s="0"/>
      <c r="ALW317" s="0"/>
      <c r="ALX317" s="0"/>
      <c r="ALY317" s="0"/>
      <c r="ALZ317" s="0"/>
      <c r="AMA317" s="0"/>
      <c r="AMB317" s="0"/>
      <c r="AMC317" s="0"/>
      <c r="AMD317" s="0"/>
      <c r="AME317" s="0"/>
      <c r="AMF317" s="0"/>
      <c r="AMG317" s="0"/>
      <c r="AMH317" s="0"/>
      <c r="AMI317" s="0"/>
      <c r="AMJ317" s="0"/>
    </row>
    <row r="318" s="14" customFormat="true" ht="12.8" hidden="false" customHeight="false" outlineLevel="0" collapsed="false">
      <c r="C318" s="26"/>
      <c r="E318" s="26"/>
      <c r="H318" s="2"/>
      <c r="I318" s="26"/>
      <c r="J318" s="26"/>
      <c r="K318" s="26"/>
      <c r="O318" s="26"/>
      <c r="P318" s="26"/>
      <c r="Q318" s="26"/>
      <c r="R318" s="26"/>
      <c r="S318" s="26"/>
      <c r="T318" s="26"/>
      <c r="U318" s="26"/>
      <c r="W318" s="27"/>
      <c r="AE318" s="26"/>
      <c r="AF318" s="26"/>
      <c r="AG318" s="26"/>
      <c r="AH318" s="26"/>
      <c r="AI318" s="26"/>
      <c r="AJ318" s="26"/>
      <c r="AKX318" s="0"/>
      <c r="AKY318" s="0"/>
      <c r="AKZ318" s="0"/>
      <c r="ALA318" s="0"/>
      <c r="ALB318" s="0"/>
      <c r="ALC318" s="0"/>
      <c r="ALD318" s="0"/>
      <c r="ALE318" s="0"/>
      <c r="ALF318" s="0"/>
      <c r="ALG318" s="0"/>
      <c r="ALH318" s="0"/>
      <c r="ALI318" s="0"/>
      <c r="ALJ318" s="0"/>
      <c r="ALK318" s="0"/>
      <c r="ALL318" s="0"/>
      <c r="ALM318" s="0"/>
      <c r="ALN318" s="0"/>
      <c r="ALO318" s="0"/>
      <c r="ALP318" s="0"/>
      <c r="ALQ318" s="0"/>
      <c r="ALR318" s="0"/>
      <c r="ALS318" s="0"/>
      <c r="ALT318" s="0"/>
      <c r="ALU318" s="0"/>
      <c r="ALV318" s="0"/>
      <c r="ALW318" s="0"/>
      <c r="ALX318" s="0"/>
      <c r="ALY318" s="0"/>
      <c r="ALZ318" s="0"/>
      <c r="AMA318" s="0"/>
      <c r="AMB318" s="0"/>
      <c r="AMC318" s="0"/>
      <c r="AMD318" s="0"/>
      <c r="AME318" s="0"/>
      <c r="AMF318" s="0"/>
      <c r="AMG318" s="0"/>
      <c r="AMH318" s="0"/>
      <c r="AMI318" s="0"/>
      <c r="AMJ318" s="0"/>
    </row>
    <row r="319" s="14" customFormat="true" ht="12.8" hidden="false" customHeight="false" outlineLevel="0" collapsed="false">
      <c r="C319" s="26"/>
      <c r="E319" s="26"/>
      <c r="H319" s="2"/>
      <c r="I319" s="26"/>
      <c r="J319" s="26"/>
      <c r="K319" s="26"/>
      <c r="O319" s="26"/>
      <c r="P319" s="26"/>
      <c r="Q319" s="26"/>
      <c r="R319" s="26"/>
      <c r="S319" s="26"/>
      <c r="T319" s="26"/>
      <c r="U319" s="26"/>
      <c r="W319" s="27"/>
      <c r="AE319" s="26"/>
      <c r="AF319" s="26"/>
      <c r="AG319" s="26"/>
      <c r="AH319" s="26"/>
      <c r="AI319" s="26"/>
      <c r="AJ319" s="26"/>
      <c r="AKX319" s="0"/>
      <c r="AKY319" s="0"/>
      <c r="AKZ319" s="0"/>
      <c r="ALA319" s="0"/>
      <c r="ALB319" s="0"/>
      <c r="ALC319" s="0"/>
      <c r="ALD319" s="0"/>
      <c r="ALE319" s="0"/>
      <c r="ALF319" s="0"/>
      <c r="ALG319" s="0"/>
      <c r="ALH319" s="0"/>
      <c r="ALI319" s="0"/>
      <c r="ALJ319" s="0"/>
      <c r="ALK319" s="0"/>
      <c r="ALL319" s="0"/>
      <c r="ALM319" s="0"/>
      <c r="ALN319" s="0"/>
      <c r="ALO319" s="0"/>
      <c r="ALP319" s="0"/>
      <c r="ALQ319" s="0"/>
      <c r="ALR319" s="0"/>
      <c r="ALS319" s="0"/>
      <c r="ALT319" s="0"/>
      <c r="ALU319" s="0"/>
      <c r="ALV319" s="0"/>
      <c r="ALW319" s="0"/>
      <c r="ALX319" s="0"/>
      <c r="ALY319" s="0"/>
      <c r="ALZ319" s="0"/>
      <c r="AMA319" s="0"/>
      <c r="AMB319" s="0"/>
      <c r="AMC319" s="0"/>
      <c r="AMD319" s="0"/>
      <c r="AME319" s="0"/>
      <c r="AMF319" s="0"/>
      <c r="AMG319" s="0"/>
      <c r="AMH319" s="0"/>
      <c r="AMI319" s="0"/>
      <c r="AMJ319" s="0"/>
    </row>
    <row r="320" s="14" customFormat="true" ht="12.8" hidden="false" customHeight="false" outlineLevel="0" collapsed="false">
      <c r="C320" s="26"/>
      <c r="E320" s="26"/>
      <c r="H320" s="2"/>
      <c r="I320" s="26"/>
      <c r="J320" s="26"/>
      <c r="K320" s="26"/>
      <c r="O320" s="26"/>
      <c r="P320" s="26"/>
      <c r="Q320" s="26"/>
      <c r="R320" s="26"/>
      <c r="S320" s="26"/>
      <c r="T320" s="26"/>
      <c r="U320" s="26"/>
      <c r="W320" s="27"/>
      <c r="AE320" s="26"/>
      <c r="AF320" s="26"/>
      <c r="AG320" s="26"/>
      <c r="AH320" s="26"/>
      <c r="AI320" s="26"/>
      <c r="AJ320" s="26"/>
      <c r="AKX320" s="0"/>
      <c r="AKY320" s="0"/>
      <c r="AKZ320" s="0"/>
      <c r="ALA320" s="0"/>
      <c r="ALB320" s="0"/>
      <c r="ALC320" s="0"/>
      <c r="ALD320" s="0"/>
      <c r="ALE320" s="0"/>
      <c r="ALF320" s="0"/>
      <c r="ALG320" s="0"/>
      <c r="ALH320" s="0"/>
      <c r="ALI320" s="0"/>
      <c r="ALJ320" s="0"/>
      <c r="ALK320" s="0"/>
      <c r="ALL320" s="0"/>
      <c r="ALM320" s="0"/>
      <c r="ALN320" s="0"/>
      <c r="ALO320" s="0"/>
      <c r="ALP320" s="0"/>
      <c r="ALQ320" s="0"/>
      <c r="ALR320" s="0"/>
      <c r="ALS320" s="0"/>
      <c r="ALT320" s="0"/>
      <c r="ALU320" s="0"/>
      <c r="ALV320" s="0"/>
      <c r="ALW320" s="0"/>
      <c r="ALX320" s="0"/>
      <c r="ALY320" s="0"/>
      <c r="ALZ320" s="0"/>
      <c r="AMA320" s="0"/>
      <c r="AMB320" s="0"/>
      <c r="AMC320" s="0"/>
      <c r="AMD320" s="0"/>
      <c r="AME320" s="0"/>
      <c r="AMF320" s="0"/>
      <c r="AMG320" s="0"/>
      <c r="AMH320" s="0"/>
      <c r="AMI320" s="0"/>
      <c r="AMJ320" s="0"/>
    </row>
    <row r="321" s="14" customFormat="true" ht="12.8" hidden="false" customHeight="false" outlineLevel="0" collapsed="false">
      <c r="C321" s="26"/>
      <c r="E321" s="26"/>
      <c r="H321" s="2"/>
      <c r="I321" s="26"/>
      <c r="J321" s="26"/>
      <c r="K321" s="26"/>
      <c r="O321" s="26"/>
      <c r="P321" s="26"/>
      <c r="Q321" s="26"/>
      <c r="R321" s="26"/>
      <c r="S321" s="26"/>
      <c r="T321" s="26"/>
      <c r="U321" s="26"/>
      <c r="W321" s="27"/>
      <c r="AE321" s="26"/>
      <c r="AF321" s="26"/>
      <c r="AG321" s="26"/>
      <c r="AH321" s="26"/>
      <c r="AI321" s="26"/>
      <c r="AJ321" s="26"/>
      <c r="AKX321" s="0"/>
      <c r="AKY321" s="0"/>
      <c r="AKZ321" s="0"/>
      <c r="ALA321" s="0"/>
      <c r="ALB321" s="0"/>
      <c r="ALC321" s="0"/>
      <c r="ALD321" s="0"/>
      <c r="ALE321" s="0"/>
      <c r="ALF321" s="0"/>
      <c r="ALG321" s="0"/>
      <c r="ALH321" s="0"/>
      <c r="ALI321" s="0"/>
      <c r="ALJ321" s="0"/>
      <c r="ALK321" s="0"/>
      <c r="ALL321" s="0"/>
      <c r="ALM321" s="0"/>
      <c r="ALN321" s="0"/>
      <c r="ALO321" s="0"/>
      <c r="ALP321" s="0"/>
      <c r="ALQ321" s="0"/>
      <c r="ALR321" s="0"/>
      <c r="ALS321" s="0"/>
      <c r="ALT321" s="0"/>
      <c r="ALU321" s="0"/>
      <c r="ALV321" s="0"/>
      <c r="ALW321" s="0"/>
      <c r="ALX321" s="0"/>
      <c r="ALY321" s="0"/>
      <c r="ALZ321" s="0"/>
      <c r="AMA321" s="0"/>
      <c r="AMB321" s="0"/>
      <c r="AMC321" s="0"/>
      <c r="AMD321" s="0"/>
      <c r="AME321" s="0"/>
      <c r="AMF321" s="0"/>
      <c r="AMG321" s="0"/>
      <c r="AMH321" s="0"/>
      <c r="AMI321" s="0"/>
      <c r="AMJ321" s="0"/>
    </row>
    <row r="322" s="14" customFormat="true" ht="12.8" hidden="false" customHeight="false" outlineLevel="0" collapsed="false">
      <c r="C322" s="26"/>
      <c r="E322" s="26"/>
      <c r="H322" s="2"/>
      <c r="I322" s="26"/>
      <c r="J322" s="26"/>
      <c r="K322" s="26"/>
      <c r="O322" s="26"/>
      <c r="P322" s="26"/>
      <c r="Q322" s="26"/>
      <c r="R322" s="26"/>
      <c r="S322" s="26"/>
      <c r="T322" s="26"/>
      <c r="U322" s="26"/>
      <c r="W322" s="27"/>
      <c r="AE322" s="26"/>
      <c r="AF322" s="26"/>
      <c r="AG322" s="26"/>
      <c r="AH322" s="26"/>
      <c r="AI322" s="26"/>
      <c r="AJ322" s="26"/>
      <c r="AKX322" s="0"/>
      <c r="AKY322" s="0"/>
      <c r="AKZ322" s="0"/>
      <c r="ALA322" s="0"/>
      <c r="ALB322" s="0"/>
      <c r="ALC322" s="0"/>
      <c r="ALD322" s="0"/>
      <c r="ALE322" s="0"/>
      <c r="ALF322" s="0"/>
      <c r="ALG322" s="0"/>
      <c r="ALH322" s="0"/>
      <c r="ALI322" s="0"/>
      <c r="ALJ322" s="0"/>
      <c r="ALK322" s="0"/>
      <c r="ALL322" s="0"/>
      <c r="ALM322" s="0"/>
      <c r="ALN322" s="0"/>
      <c r="ALO322" s="0"/>
      <c r="ALP322" s="0"/>
      <c r="ALQ322" s="0"/>
      <c r="ALR322" s="0"/>
      <c r="ALS322" s="0"/>
      <c r="ALT322" s="0"/>
      <c r="ALU322" s="0"/>
      <c r="ALV322" s="0"/>
      <c r="ALW322" s="0"/>
      <c r="ALX322" s="0"/>
      <c r="ALY322" s="0"/>
      <c r="ALZ322" s="0"/>
      <c r="AMA322" s="0"/>
      <c r="AMB322" s="0"/>
      <c r="AMC322" s="0"/>
      <c r="AMD322" s="0"/>
      <c r="AME322" s="0"/>
      <c r="AMF322" s="0"/>
      <c r="AMG322" s="0"/>
      <c r="AMH322" s="0"/>
      <c r="AMI322" s="0"/>
      <c r="AMJ322" s="0"/>
    </row>
    <row r="323" s="14" customFormat="true" ht="12.8" hidden="false" customHeight="false" outlineLevel="0" collapsed="false">
      <c r="C323" s="26"/>
      <c r="E323" s="26"/>
      <c r="H323" s="2"/>
      <c r="I323" s="26"/>
      <c r="J323" s="26"/>
      <c r="K323" s="26"/>
      <c r="O323" s="26"/>
      <c r="P323" s="26"/>
      <c r="Q323" s="26"/>
      <c r="R323" s="26"/>
      <c r="S323" s="26"/>
      <c r="T323" s="26"/>
      <c r="U323" s="26"/>
      <c r="W323" s="27"/>
      <c r="AE323" s="26"/>
      <c r="AF323" s="26"/>
      <c r="AG323" s="26"/>
      <c r="AH323" s="26"/>
      <c r="AI323" s="26"/>
      <c r="AJ323" s="26"/>
      <c r="AKX323" s="0"/>
      <c r="AKY323" s="0"/>
      <c r="AKZ323" s="0"/>
      <c r="ALA323" s="0"/>
      <c r="ALB323" s="0"/>
      <c r="ALC323" s="0"/>
      <c r="ALD323" s="0"/>
      <c r="ALE323" s="0"/>
      <c r="ALF323" s="0"/>
      <c r="ALG323" s="0"/>
      <c r="ALH323" s="0"/>
      <c r="ALI323" s="0"/>
      <c r="ALJ323" s="0"/>
      <c r="ALK323" s="0"/>
      <c r="ALL323" s="0"/>
      <c r="ALM323" s="0"/>
      <c r="ALN323" s="0"/>
      <c r="ALO323" s="0"/>
      <c r="ALP323" s="0"/>
      <c r="ALQ323" s="0"/>
      <c r="ALR323" s="0"/>
      <c r="ALS323" s="0"/>
      <c r="ALT323" s="0"/>
      <c r="ALU323" s="0"/>
      <c r="ALV323" s="0"/>
      <c r="ALW323" s="0"/>
      <c r="ALX323" s="0"/>
      <c r="ALY323" s="0"/>
      <c r="ALZ323" s="0"/>
      <c r="AMA323" s="0"/>
      <c r="AMB323" s="0"/>
      <c r="AMC323" s="0"/>
      <c r="AMD323" s="0"/>
      <c r="AME323" s="0"/>
      <c r="AMF323" s="0"/>
      <c r="AMG323" s="0"/>
      <c r="AMH323" s="0"/>
      <c r="AMI323" s="0"/>
      <c r="AMJ323" s="0"/>
    </row>
    <row r="324" s="14" customFormat="true" ht="12.8" hidden="false" customHeight="false" outlineLevel="0" collapsed="false">
      <c r="C324" s="26"/>
      <c r="E324" s="26"/>
      <c r="H324" s="2"/>
      <c r="I324" s="26"/>
      <c r="J324" s="26"/>
      <c r="K324" s="26"/>
      <c r="O324" s="26"/>
      <c r="P324" s="26"/>
      <c r="Q324" s="26"/>
      <c r="R324" s="26"/>
      <c r="S324" s="26"/>
      <c r="T324" s="26"/>
      <c r="U324" s="26"/>
      <c r="W324" s="27"/>
      <c r="AE324" s="26"/>
      <c r="AF324" s="26"/>
      <c r="AG324" s="26"/>
      <c r="AH324" s="26"/>
      <c r="AI324" s="26"/>
      <c r="AJ324" s="26"/>
      <c r="AKX324" s="0"/>
      <c r="AKY324" s="0"/>
      <c r="AKZ324" s="0"/>
      <c r="ALA324" s="0"/>
      <c r="ALB324" s="0"/>
      <c r="ALC324" s="0"/>
      <c r="ALD324" s="0"/>
      <c r="ALE324" s="0"/>
      <c r="ALF324" s="0"/>
      <c r="ALG324" s="0"/>
      <c r="ALH324" s="0"/>
      <c r="ALI324" s="0"/>
      <c r="ALJ324" s="0"/>
      <c r="ALK324" s="0"/>
      <c r="ALL324" s="0"/>
      <c r="ALM324" s="0"/>
      <c r="ALN324" s="0"/>
      <c r="ALO324" s="0"/>
      <c r="ALP324" s="0"/>
      <c r="ALQ324" s="0"/>
      <c r="ALR324" s="0"/>
      <c r="ALS324" s="0"/>
      <c r="ALT324" s="0"/>
      <c r="ALU324" s="0"/>
      <c r="ALV324" s="0"/>
      <c r="ALW324" s="0"/>
      <c r="ALX324" s="0"/>
      <c r="ALY324" s="0"/>
      <c r="ALZ324" s="0"/>
      <c r="AMA324" s="0"/>
      <c r="AMB324" s="0"/>
      <c r="AMC324" s="0"/>
      <c r="AMD324" s="0"/>
      <c r="AME324" s="0"/>
      <c r="AMF324" s="0"/>
      <c r="AMG324" s="0"/>
      <c r="AMH324" s="0"/>
      <c r="AMI324" s="0"/>
      <c r="AMJ324" s="0"/>
    </row>
    <row r="325" s="14" customFormat="true" ht="12.8" hidden="false" customHeight="false" outlineLevel="0" collapsed="false">
      <c r="C325" s="26"/>
      <c r="E325" s="26"/>
      <c r="H325" s="2"/>
      <c r="I325" s="26"/>
      <c r="J325" s="26"/>
      <c r="K325" s="26"/>
      <c r="O325" s="26"/>
      <c r="P325" s="26"/>
      <c r="Q325" s="26"/>
      <c r="R325" s="26"/>
      <c r="S325" s="26"/>
      <c r="T325" s="26"/>
      <c r="U325" s="26"/>
      <c r="W325" s="27"/>
      <c r="AE325" s="26"/>
      <c r="AF325" s="26"/>
      <c r="AG325" s="26"/>
      <c r="AH325" s="26"/>
      <c r="AI325" s="26"/>
      <c r="AJ325" s="26"/>
      <c r="AKX325" s="0"/>
      <c r="AKY325" s="0"/>
      <c r="AKZ325" s="0"/>
      <c r="ALA325" s="0"/>
      <c r="ALB325" s="0"/>
      <c r="ALC325" s="0"/>
      <c r="ALD325" s="0"/>
      <c r="ALE325" s="0"/>
      <c r="ALF325" s="0"/>
      <c r="ALG325" s="0"/>
      <c r="ALH325" s="0"/>
      <c r="ALI325" s="0"/>
      <c r="ALJ325" s="0"/>
      <c r="ALK325" s="0"/>
      <c r="ALL325" s="0"/>
      <c r="ALM325" s="0"/>
      <c r="ALN325" s="0"/>
      <c r="ALO325" s="0"/>
      <c r="ALP325" s="0"/>
      <c r="ALQ325" s="0"/>
      <c r="ALR325" s="0"/>
      <c r="ALS325" s="0"/>
      <c r="ALT325" s="0"/>
      <c r="ALU325" s="0"/>
      <c r="ALV325" s="0"/>
      <c r="ALW325" s="0"/>
      <c r="ALX325" s="0"/>
      <c r="ALY325" s="0"/>
      <c r="ALZ325" s="0"/>
      <c r="AMA325" s="0"/>
      <c r="AMB325" s="0"/>
      <c r="AMC325" s="0"/>
      <c r="AMD325" s="0"/>
      <c r="AME325" s="0"/>
      <c r="AMF325" s="0"/>
      <c r="AMG325" s="0"/>
      <c r="AMH325" s="0"/>
      <c r="AMI325" s="0"/>
      <c r="AMJ325" s="0"/>
    </row>
    <row r="326" s="14" customFormat="true" ht="12.8" hidden="false" customHeight="false" outlineLevel="0" collapsed="false">
      <c r="C326" s="26"/>
      <c r="E326" s="26"/>
      <c r="H326" s="2"/>
      <c r="I326" s="26"/>
      <c r="J326" s="26"/>
      <c r="K326" s="26"/>
      <c r="O326" s="26"/>
      <c r="P326" s="26"/>
      <c r="Q326" s="26"/>
      <c r="R326" s="26"/>
      <c r="S326" s="26"/>
      <c r="T326" s="26"/>
      <c r="U326" s="26"/>
      <c r="W326" s="27"/>
      <c r="AE326" s="26"/>
      <c r="AF326" s="26"/>
      <c r="AG326" s="26"/>
      <c r="AH326" s="26"/>
      <c r="AI326" s="26"/>
      <c r="AJ326" s="26"/>
      <c r="AKX326" s="0"/>
      <c r="AKY326" s="0"/>
      <c r="AKZ326" s="0"/>
      <c r="ALA326" s="0"/>
      <c r="ALB326" s="0"/>
      <c r="ALC326" s="0"/>
      <c r="ALD326" s="0"/>
      <c r="ALE326" s="0"/>
      <c r="ALF326" s="0"/>
      <c r="ALG326" s="0"/>
      <c r="ALH326" s="0"/>
      <c r="ALI326" s="0"/>
      <c r="ALJ326" s="0"/>
      <c r="ALK326" s="0"/>
      <c r="ALL326" s="0"/>
      <c r="ALM326" s="0"/>
      <c r="ALN326" s="0"/>
      <c r="ALO326" s="0"/>
      <c r="ALP326" s="0"/>
      <c r="ALQ326" s="0"/>
      <c r="ALR326" s="0"/>
      <c r="ALS326" s="0"/>
      <c r="ALT326" s="0"/>
      <c r="ALU326" s="0"/>
      <c r="ALV326" s="0"/>
      <c r="ALW326" s="0"/>
      <c r="ALX326" s="0"/>
      <c r="ALY326" s="0"/>
      <c r="ALZ326" s="0"/>
      <c r="AMA326" s="0"/>
      <c r="AMB326" s="0"/>
      <c r="AMC326" s="0"/>
      <c r="AMD326" s="0"/>
      <c r="AME326" s="0"/>
      <c r="AMF326" s="0"/>
      <c r="AMG326" s="0"/>
      <c r="AMH326" s="0"/>
      <c r="AMI326" s="0"/>
      <c r="AMJ326" s="0"/>
    </row>
    <row r="327" s="14" customFormat="true" ht="12.8" hidden="false" customHeight="false" outlineLevel="0" collapsed="false">
      <c r="C327" s="26"/>
      <c r="E327" s="26"/>
      <c r="H327" s="2"/>
      <c r="I327" s="26"/>
      <c r="J327" s="26"/>
      <c r="K327" s="26"/>
      <c r="O327" s="26"/>
      <c r="P327" s="26"/>
      <c r="Q327" s="26"/>
      <c r="R327" s="26"/>
      <c r="S327" s="26"/>
      <c r="T327" s="26"/>
      <c r="U327" s="26"/>
      <c r="W327" s="27"/>
      <c r="AE327" s="26"/>
      <c r="AF327" s="26"/>
      <c r="AG327" s="26"/>
      <c r="AH327" s="26"/>
      <c r="AI327" s="26"/>
      <c r="AJ327" s="26"/>
      <c r="AKX327" s="0"/>
      <c r="AKY327" s="0"/>
      <c r="AKZ327" s="0"/>
      <c r="ALA327" s="0"/>
      <c r="ALB327" s="0"/>
      <c r="ALC327" s="0"/>
      <c r="ALD327" s="0"/>
      <c r="ALE327" s="0"/>
      <c r="ALF327" s="0"/>
      <c r="ALG327" s="0"/>
      <c r="ALH327" s="0"/>
      <c r="ALI327" s="0"/>
      <c r="ALJ327" s="0"/>
      <c r="ALK327" s="0"/>
      <c r="ALL327" s="0"/>
      <c r="ALM327" s="0"/>
      <c r="ALN327" s="0"/>
      <c r="ALO327" s="0"/>
      <c r="ALP327" s="0"/>
      <c r="ALQ327" s="0"/>
      <c r="ALR327" s="0"/>
      <c r="ALS327" s="0"/>
      <c r="ALT327" s="0"/>
      <c r="ALU327" s="0"/>
      <c r="ALV327" s="0"/>
      <c r="ALW327" s="0"/>
      <c r="ALX327" s="0"/>
      <c r="ALY327" s="0"/>
      <c r="ALZ327" s="0"/>
      <c r="AMA327" s="0"/>
      <c r="AMB327" s="0"/>
      <c r="AMC327" s="0"/>
      <c r="AMD327" s="0"/>
      <c r="AME327" s="0"/>
      <c r="AMF327" s="0"/>
      <c r="AMG327" s="0"/>
      <c r="AMH327" s="0"/>
      <c r="AMI327" s="0"/>
      <c r="AMJ327" s="0"/>
    </row>
    <row r="328" s="14" customFormat="true" ht="12.8" hidden="false" customHeight="false" outlineLevel="0" collapsed="false">
      <c r="C328" s="26"/>
      <c r="E328" s="26"/>
      <c r="H328" s="2"/>
      <c r="I328" s="26"/>
      <c r="J328" s="26"/>
      <c r="K328" s="26"/>
      <c r="O328" s="26"/>
      <c r="P328" s="26"/>
      <c r="Q328" s="26"/>
      <c r="R328" s="26"/>
      <c r="S328" s="26"/>
      <c r="T328" s="26"/>
      <c r="U328" s="26"/>
      <c r="W328" s="27"/>
      <c r="AE328" s="26"/>
      <c r="AF328" s="26"/>
      <c r="AG328" s="26"/>
      <c r="AH328" s="26"/>
      <c r="AI328" s="26"/>
      <c r="AJ328" s="26"/>
      <c r="AKX328" s="0"/>
      <c r="AKY328" s="0"/>
      <c r="AKZ328" s="0"/>
      <c r="ALA328" s="0"/>
      <c r="ALB328" s="0"/>
      <c r="ALC328" s="0"/>
      <c r="ALD328" s="0"/>
      <c r="ALE328" s="0"/>
      <c r="ALF328" s="0"/>
      <c r="ALG328" s="0"/>
      <c r="ALH328" s="0"/>
      <c r="ALI328" s="0"/>
      <c r="ALJ328" s="0"/>
      <c r="ALK328" s="0"/>
      <c r="ALL328" s="0"/>
      <c r="ALM328" s="0"/>
      <c r="ALN328" s="0"/>
      <c r="ALO328" s="0"/>
      <c r="ALP328" s="0"/>
      <c r="ALQ328" s="0"/>
      <c r="ALR328" s="0"/>
      <c r="ALS328" s="0"/>
      <c r="ALT328" s="0"/>
      <c r="ALU328" s="0"/>
      <c r="ALV328" s="0"/>
      <c r="ALW328" s="0"/>
      <c r="ALX328" s="0"/>
      <c r="ALY328" s="0"/>
      <c r="ALZ328" s="0"/>
      <c r="AMA328" s="0"/>
      <c r="AMB328" s="0"/>
      <c r="AMC328" s="0"/>
      <c r="AMD328" s="0"/>
      <c r="AME328" s="0"/>
      <c r="AMF328" s="0"/>
      <c r="AMG328" s="0"/>
      <c r="AMH328" s="0"/>
      <c r="AMI328" s="0"/>
      <c r="AMJ328" s="0"/>
    </row>
    <row r="329" s="14" customFormat="true" ht="12.8" hidden="false" customHeight="false" outlineLevel="0" collapsed="false">
      <c r="C329" s="26"/>
      <c r="E329" s="26"/>
      <c r="H329" s="2"/>
      <c r="I329" s="26"/>
      <c r="J329" s="26"/>
      <c r="K329" s="26"/>
      <c r="O329" s="26"/>
      <c r="P329" s="26"/>
      <c r="Q329" s="26"/>
      <c r="R329" s="26"/>
      <c r="S329" s="26"/>
      <c r="T329" s="26"/>
      <c r="U329" s="26"/>
      <c r="W329" s="27"/>
      <c r="AE329" s="26"/>
      <c r="AF329" s="26"/>
      <c r="AG329" s="26"/>
      <c r="AH329" s="26"/>
      <c r="AI329" s="26"/>
      <c r="AJ329" s="26"/>
      <c r="AKX329" s="0"/>
      <c r="AKY329" s="0"/>
      <c r="AKZ329" s="0"/>
      <c r="ALA329" s="0"/>
      <c r="ALB329" s="0"/>
      <c r="ALC329" s="0"/>
      <c r="ALD329" s="0"/>
      <c r="ALE329" s="0"/>
      <c r="ALF329" s="0"/>
      <c r="ALG329" s="0"/>
      <c r="ALH329" s="0"/>
      <c r="ALI329" s="0"/>
      <c r="ALJ329" s="0"/>
      <c r="ALK329" s="0"/>
      <c r="ALL329" s="0"/>
      <c r="ALM329" s="0"/>
      <c r="ALN329" s="0"/>
      <c r="ALO329" s="0"/>
      <c r="ALP329" s="0"/>
      <c r="ALQ329" s="0"/>
      <c r="ALR329" s="0"/>
      <c r="ALS329" s="0"/>
      <c r="ALT329" s="0"/>
      <c r="ALU329" s="0"/>
      <c r="ALV329" s="0"/>
      <c r="ALW329" s="0"/>
      <c r="ALX329" s="0"/>
      <c r="ALY329" s="0"/>
      <c r="ALZ329" s="0"/>
      <c r="AMA329" s="0"/>
      <c r="AMB329" s="0"/>
      <c r="AMC329" s="0"/>
      <c r="AMD329" s="0"/>
      <c r="AME329" s="0"/>
      <c r="AMF329" s="0"/>
      <c r="AMG329" s="0"/>
      <c r="AMH329" s="0"/>
      <c r="AMI329" s="0"/>
      <c r="AMJ329" s="0"/>
    </row>
    <row r="330" s="14" customFormat="true" ht="12.8" hidden="false" customHeight="false" outlineLevel="0" collapsed="false">
      <c r="C330" s="26"/>
      <c r="E330" s="26"/>
      <c r="H330" s="2"/>
      <c r="I330" s="26"/>
      <c r="J330" s="26"/>
      <c r="K330" s="26"/>
      <c r="O330" s="26"/>
      <c r="P330" s="26"/>
      <c r="Q330" s="26"/>
      <c r="R330" s="26"/>
      <c r="S330" s="26"/>
      <c r="T330" s="26"/>
      <c r="U330" s="26"/>
      <c r="W330" s="27"/>
      <c r="AE330" s="26"/>
      <c r="AF330" s="26"/>
      <c r="AG330" s="26"/>
      <c r="AH330" s="26"/>
      <c r="AI330" s="26"/>
      <c r="AJ330" s="26"/>
      <c r="AKX330" s="0"/>
      <c r="AKY330" s="0"/>
      <c r="AKZ330" s="0"/>
      <c r="ALA330" s="0"/>
      <c r="ALB330" s="0"/>
      <c r="ALC330" s="0"/>
      <c r="ALD330" s="0"/>
      <c r="ALE330" s="0"/>
      <c r="ALF330" s="0"/>
      <c r="ALG330" s="0"/>
      <c r="ALH330" s="0"/>
      <c r="ALI330" s="0"/>
      <c r="ALJ330" s="0"/>
      <c r="ALK330" s="0"/>
      <c r="ALL330" s="0"/>
      <c r="ALM330" s="0"/>
      <c r="ALN330" s="0"/>
      <c r="ALO330" s="0"/>
      <c r="ALP330" s="0"/>
      <c r="ALQ330" s="0"/>
      <c r="ALR330" s="0"/>
      <c r="ALS330" s="0"/>
      <c r="ALT330" s="0"/>
      <c r="ALU330" s="0"/>
      <c r="ALV330" s="0"/>
      <c r="ALW330" s="0"/>
      <c r="ALX330" s="0"/>
      <c r="ALY330" s="0"/>
      <c r="ALZ330" s="0"/>
      <c r="AMA330" s="0"/>
      <c r="AMB330" s="0"/>
      <c r="AMC330" s="0"/>
      <c r="AMD330" s="0"/>
      <c r="AME330" s="0"/>
      <c r="AMF330" s="0"/>
      <c r="AMG330" s="0"/>
      <c r="AMH330" s="0"/>
      <c r="AMI330" s="0"/>
      <c r="AMJ330" s="0"/>
    </row>
    <row r="331" s="14" customFormat="true" ht="12.8" hidden="false" customHeight="false" outlineLevel="0" collapsed="false">
      <c r="C331" s="26"/>
      <c r="E331" s="26"/>
      <c r="H331" s="2"/>
      <c r="I331" s="26"/>
      <c r="J331" s="26"/>
      <c r="K331" s="26"/>
      <c r="O331" s="26"/>
      <c r="P331" s="26"/>
      <c r="Q331" s="26"/>
      <c r="R331" s="26"/>
      <c r="S331" s="26"/>
      <c r="T331" s="26"/>
      <c r="U331" s="26"/>
      <c r="W331" s="27"/>
      <c r="AE331" s="26"/>
      <c r="AF331" s="26"/>
      <c r="AG331" s="26"/>
      <c r="AH331" s="26"/>
      <c r="AI331" s="26"/>
      <c r="AJ331" s="26"/>
      <c r="AKX331" s="0"/>
      <c r="AKY331" s="0"/>
      <c r="AKZ331" s="0"/>
      <c r="ALA331" s="0"/>
      <c r="ALB331" s="0"/>
      <c r="ALC331" s="0"/>
      <c r="ALD331" s="0"/>
      <c r="ALE331" s="0"/>
      <c r="ALF331" s="0"/>
      <c r="ALG331" s="0"/>
      <c r="ALH331" s="0"/>
      <c r="ALI331" s="0"/>
      <c r="ALJ331" s="0"/>
      <c r="ALK331" s="0"/>
      <c r="ALL331" s="0"/>
      <c r="ALM331" s="0"/>
      <c r="ALN331" s="0"/>
      <c r="ALO331" s="0"/>
      <c r="ALP331" s="0"/>
      <c r="ALQ331" s="0"/>
      <c r="ALR331" s="0"/>
      <c r="ALS331" s="0"/>
      <c r="ALT331" s="0"/>
      <c r="ALU331" s="0"/>
      <c r="ALV331" s="0"/>
      <c r="ALW331" s="0"/>
      <c r="ALX331" s="0"/>
      <c r="ALY331" s="0"/>
      <c r="ALZ331" s="0"/>
      <c r="AMA331" s="0"/>
      <c r="AMB331" s="0"/>
      <c r="AMC331" s="0"/>
      <c r="AMD331" s="0"/>
      <c r="AME331" s="0"/>
      <c r="AMF331" s="0"/>
      <c r="AMG331" s="0"/>
      <c r="AMH331" s="0"/>
      <c r="AMI331" s="0"/>
      <c r="AMJ331" s="0"/>
    </row>
    <row r="332" s="14" customFormat="true" ht="12.8" hidden="false" customHeight="false" outlineLevel="0" collapsed="false">
      <c r="C332" s="26"/>
      <c r="E332" s="26"/>
      <c r="H332" s="2"/>
      <c r="I332" s="26"/>
      <c r="J332" s="26"/>
      <c r="K332" s="26"/>
      <c r="O332" s="26"/>
      <c r="P332" s="26"/>
      <c r="Q332" s="26"/>
      <c r="R332" s="26"/>
      <c r="S332" s="26"/>
      <c r="T332" s="26"/>
      <c r="U332" s="26"/>
      <c r="W332" s="27"/>
      <c r="AE332" s="26"/>
      <c r="AF332" s="26"/>
      <c r="AG332" s="26"/>
      <c r="AH332" s="26"/>
      <c r="AI332" s="26"/>
      <c r="AJ332" s="26"/>
      <c r="AKX332" s="0"/>
      <c r="AKY332" s="0"/>
      <c r="AKZ332" s="0"/>
      <c r="ALA332" s="0"/>
      <c r="ALB332" s="0"/>
      <c r="ALC332" s="0"/>
      <c r="ALD332" s="0"/>
      <c r="ALE332" s="0"/>
      <c r="ALF332" s="0"/>
      <c r="ALG332" s="0"/>
      <c r="ALH332" s="0"/>
      <c r="ALI332" s="0"/>
      <c r="ALJ332" s="0"/>
      <c r="ALK332" s="0"/>
      <c r="ALL332" s="0"/>
      <c r="ALM332" s="0"/>
      <c r="ALN332" s="0"/>
      <c r="ALO332" s="0"/>
      <c r="ALP332" s="0"/>
      <c r="ALQ332" s="0"/>
      <c r="ALR332" s="0"/>
      <c r="ALS332" s="0"/>
      <c r="ALT332" s="0"/>
      <c r="ALU332" s="0"/>
      <c r="ALV332" s="0"/>
      <c r="ALW332" s="0"/>
      <c r="ALX332" s="0"/>
      <c r="ALY332" s="0"/>
      <c r="ALZ332" s="0"/>
      <c r="AMA332" s="0"/>
      <c r="AMB332" s="0"/>
      <c r="AMC332" s="0"/>
      <c r="AMD332" s="0"/>
      <c r="AME332" s="0"/>
      <c r="AMF332" s="0"/>
      <c r="AMG332" s="0"/>
      <c r="AMH332" s="0"/>
      <c r="AMI332" s="0"/>
      <c r="AMJ332" s="0"/>
    </row>
    <row r="333" s="14" customFormat="true" ht="12.8" hidden="false" customHeight="false" outlineLevel="0" collapsed="false">
      <c r="C333" s="26"/>
      <c r="E333" s="26"/>
      <c r="H333" s="2"/>
      <c r="I333" s="26"/>
      <c r="J333" s="26"/>
      <c r="K333" s="26"/>
      <c r="O333" s="26"/>
      <c r="P333" s="26"/>
      <c r="Q333" s="26"/>
      <c r="R333" s="26"/>
      <c r="S333" s="26"/>
      <c r="T333" s="26"/>
      <c r="U333" s="26"/>
      <c r="W333" s="27"/>
      <c r="AE333" s="26"/>
      <c r="AF333" s="26"/>
      <c r="AG333" s="26"/>
      <c r="AH333" s="26"/>
      <c r="AI333" s="26"/>
      <c r="AJ333" s="26"/>
      <c r="AKX333" s="0"/>
      <c r="AKY333" s="0"/>
      <c r="AKZ333" s="0"/>
      <c r="ALA333" s="0"/>
      <c r="ALB333" s="0"/>
      <c r="ALC333" s="0"/>
      <c r="ALD333" s="0"/>
      <c r="ALE333" s="0"/>
      <c r="ALF333" s="0"/>
      <c r="ALG333" s="0"/>
      <c r="ALH333" s="0"/>
      <c r="ALI333" s="0"/>
      <c r="ALJ333" s="0"/>
      <c r="ALK333" s="0"/>
      <c r="ALL333" s="0"/>
      <c r="ALM333" s="0"/>
      <c r="ALN333" s="0"/>
      <c r="ALO333" s="0"/>
      <c r="ALP333" s="0"/>
      <c r="ALQ333" s="0"/>
      <c r="ALR333" s="0"/>
      <c r="ALS333" s="0"/>
      <c r="ALT333" s="0"/>
      <c r="ALU333" s="0"/>
      <c r="ALV333" s="0"/>
      <c r="ALW333" s="0"/>
      <c r="ALX333" s="0"/>
      <c r="ALY333" s="0"/>
      <c r="ALZ333" s="0"/>
      <c r="AMA333" s="0"/>
      <c r="AMB333" s="0"/>
      <c r="AMC333" s="0"/>
      <c r="AMD333" s="0"/>
      <c r="AME333" s="0"/>
      <c r="AMF333" s="0"/>
      <c r="AMG333" s="0"/>
      <c r="AMH333" s="0"/>
      <c r="AMI333" s="0"/>
      <c r="AMJ333" s="0"/>
    </row>
    <row r="334" s="14" customFormat="true" ht="12.8" hidden="false" customHeight="false" outlineLevel="0" collapsed="false">
      <c r="C334" s="26"/>
      <c r="E334" s="26"/>
      <c r="H334" s="2"/>
      <c r="I334" s="26"/>
      <c r="J334" s="26"/>
      <c r="K334" s="26"/>
      <c r="O334" s="26"/>
      <c r="P334" s="26"/>
      <c r="Q334" s="26"/>
      <c r="R334" s="26"/>
      <c r="S334" s="26"/>
      <c r="T334" s="26"/>
      <c r="U334" s="26"/>
      <c r="W334" s="27"/>
      <c r="AE334" s="26"/>
      <c r="AF334" s="26"/>
      <c r="AG334" s="26"/>
      <c r="AH334" s="26"/>
      <c r="AI334" s="26"/>
      <c r="AJ334" s="26"/>
      <c r="AKX334" s="0"/>
      <c r="AKY334" s="0"/>
      <c r="AKZ334" s="0"/>
      <c r="ALA334" s="0"/>
      <c r="ALB334" s="0"/>
      <c r="ALC334" s="0"/>
      <c r="ALD334" s="0"/>
      <c r="ALE334" s="0"/>
      <c r="ALF334" s="0"/>
      <c r="ALG334" s="0"/>
      <c r="ALH334" s="0"/>
      <c r="ALI334" s="0"/>
      <c r="ALJ334" s="0"/>
      <c r="ALK334" s="0"/>
      <c r="ALL334" s="0"/>
      <c r="ALM334" s="0"/>
      <c r="ALN334" s="0"/>
      <c r="ALO334" s="0"/>
      <c r="ALP334" s="0"/>
      <c r="ALQ334" s="0"/>
      <c r="ALR334" s="0"/>
      <c r="ALS334" s="0"/>
      <c r="ALT334" s="0"/>
      <c r="ALU334" s="0"/>
      <c r="ALV334" s="0"/>
      <c r="ALW334" s="0"/>
      <c r="ALX334" s="0"/>
      <c r="ALY334" s="0"/>
      <c r="ALZ334" s="0"/>
      <c r="AMA334" s="0"/>
      <c r="AMB334" s="0"/>
      <c r="AMC334" s="0"/>
      <c r="AMD334" s="0"/>
      <c r="AME334" s="0"/>
      <c r="AMF334" s="0"/>
      <c r="AMG334" s="0"/>
      <c r="AMH334" s="0"/>
      <c r="AMI334" s="0"/>
      <c r="AMJ334" s="0"/>
    </row>
    <row r="335" s="14" customFormat="true" ht="12.8" hidden="false" customHeight="false" outlineLevel="0" collapsed="false">
      <c r="C335" s="26"/>
      <c r="E335" s="26"/>
      <c r="H335" s="2"/>
      <c r="I335" s="26"/>
      <c r="J335" s="26"/>
      <c r="K335" s="26"/>
      <c r="O335" s="26"/>
      <c r="P335" s="26"/>
      <c r="Q335" s="26"/>
      <c r="R335" s="26"/>
      <c r="S335" s="26"/>
      <c r="T335" s="26"/>
      <c r="U335" s="26"/>
      <c r="W335" s="27"/>
      <c r="AE335" s="26"/>
      <c r="AF335" s="26"/>
      <c r="AG335" s="26"/>
      <c r="AH335" s="26"/>
      <c r="AI335" s="26"/>
      <c r="AJ335" s="26"/>
      <c r="AKX335" s="0"/>
      <c r="AKY335" s="0"/>
      <c r="AKZ335" s="0"/>
      <c r="ALA335" s="0"/>
      <c r="ALB335" s="0"/>
      <c r="ALC335" s="0"/>
      <c r="ALD335" s="0"/>
      <c r="ALE335" s="0"/>
      <c r="ALF335" s="0"/>
      <c r="ALG335" s="0"/>
      <c r="ALH335" s="0"/>
      <c r="ALI335" s="0"/>
      <c r="ALJ335" s="0"/>
      <c r="ALK335" s="0"/>
      <c r="ALL335" s="0"/>
      <c r="ALM335" s="0"/>
      <c r="ALN335" s="0"/>
      <c r="ALO335" s="0"/>
      <c r="ALP335" s="0"/>
      <c r="ALQ335" s="0"/>
      <c r="ALR335" s="0"/>
      <c r="ALS335" s="0"/>
      <c r="ALT335" s="0"/>
      <c r="ALU335" s="0"/>
      <c r="ALV335" s="0"/>
      <c r="ALW335" s="0"/>
      <c r="ALX335" s="0"/>
      <c r="ALY335" s="0"/>
      <c r="ALZ335" s="0"/>
      <c r="AMA335" s="0"/>
      <c r="AMB335" s="0"/>
      <c r="AMC335" s="0"/>
      <c r="AMD335" s="0"/>
      <c r="AME335" s="0"/>
      <c r="AMF335" s="0"/>
      <c r="AMG335" s="0"/>
      <c r="AMH335" s="0"/>
      <c r="AMI335" s="0"/>
      <c r="AMJ335" s="0"/>
    </row>
    <row r="336" s="14" customFormat="true" ht="12.8" hidden="false" customHeight="false" outlineLevel="0" collapsed="false">
      <c r="C336" s="26"/>
      <c r="E336" s="26"/>
      <c r="H336" s="2"/>
      <c r="I336" s="26"/>
      <c r="J336" s="26"/>
      <c r="K336" s="26"/>
      <c r="O336" s="26"/>
      <c r="P336" s="26"/>
      <c r="Q336" s="26"/>
      <c r="R336" s="26"/>
      <c r="S336" s="26"/>
      <c r="T336" s="26"/>
      <c r="U336" s="26"/>
      <c r="W336" s="27"/>
      <c r="AE336" s="26"/>
      <c r="AF336" s="26"/>
      <c r="AG336" s="26"/>
      <c r="AH336" s="26"/>
      <c r="AI336" s="26"/>
      <c r="AJ336" s="26"/>
      <c r="AKX336" s="0"/>
      <c r="AKY336" s="0"/>
      <c r="AKZ336" s="0"/>
      <c r="ALA336" s="0"/>
      <c r="ALB336" s="0"/>
      <c r="ALC336" s="0"/>
      <c r="ALD336" s="0"/>
      <c r="ALE336" s="0"/>
      <c r="ALF336" s="0"/>
      <c r="ALG336" s="0"/>
      <c r="ALH336" s="0"/>
      <c r="ALI336" s="0"/>
      <c r="ALJ336" s="0"/>
      <c r="ALK336" s="0"/>
      <c r="ALL336" s="0"/>
      <c r="ALM336" s="0"/>
      <c r="ALN336" s="0"/>
      <c r="ALO336" s="0"/>
      <c r="ALP336" s="0"/>
      <c r="ALQ336" s="0"/>
      <c r="ALR336" s="0"/>
      <c r="ALS336" s="0"/>
      <c r="ALT336" s="0"/>
      <c r="ALU336" s="0"/>
      <c r="ALV336" s="0"/>
      <c r="ALW336" s="0"/>
      <c r="ALX336" s="0"/>
      <c r="ALY336" s="0"/>
      <c r="ALZ336" s="0"/>
      <c r="AMA336" s="0"/>
      <c r="AMB336" s="0"/>
      <c r="AMC336" s="0"/>
      <c r="AMD336" s="0"/>
      <c r="AME336" s="0"/>
      <c r="AMF336" s="0"/>
      <c r="AMG336" s="0"/>
      <c r="AMH336" s="0"/>
      <c r="AMI336" s="0"/>
      <c r="AMJ336" s="0"/>
    </row>
    <row r="337" s="14" customFormat="true" ht="12.8" hidden="false" customHeight="false" outlineLevel="0" collapsed="false">
      <c r="C337" s="26"/>
      <c r="E337" s="26"/>
      <c r="H337" s="2"/>
      <c r="I337" s="26"/>
      <c r="J337" s="26"/>
      <c r="K337" s="26"/>
      <c r="O337" s="26"/>
      <c r="P337" s="26"/>
      <c r="Q337" s="26"/>
      <c r="R337" s="26"/>
      <c r="S337" s="26"/>
      <c r="T337" s="26"/>
      <c r="U337" s="26"/>
      <c r="W337" s="27"/>
      <c r="AE337" s="26"/>
      <c r="AF337" s="26"/>
      <c r="AG337" s="26"/>
      <c r="AH337" s="26"/>
      <c r="AI337" s="26"/>
      <c r="AJ337" s="26"/>
      <c r="AKX337" s="0"/>
      <c r="AKY337" s="0"/>
      <c r="AKZ337" s="0"/>
      <c r="ALA337" s="0"/>
      <c r="ALB337" s="0"/>
      <c r="ALC337" s="0"/>
      <c r="ALD337" s="0"/>
      <c r="ALE337" s="0"/>
      <c r="ALF337" s="0"/>
      <c r="ALG337" s="0"/>
      <c r="ALH337" s="0"/>
      <c r="ALI337" s="0"/>
      <c r="ALJ337" s="0"/>
      <c r="ALK337" s="0"/>
      <c r="ALL337" s="0"/>
      <c r="ALM337" s="0"/>
      <c r="ALN337" s="0"/>
      <c r="ALO337" s="0"/>
      <c r="ALP337" s="0"/>
      <c r="ALQ337" s="0"/>
      <c r="ALR337" s="0"/>
      <c r="ALS337" s="0"/>
      <c r="ALT337" s="0"/>
      <c r="ALU337" s="0"/>
      <c r="ALV337" s="0"/>
      <c r="ALW337" s="0"/>
      <c r="ALX337" s="0"/>
      <c r="ALY337" s="0"/>
      <c r="ALZ337" s="0"/>
      <c r="AMA337" s="0"/>
      <c r="AMB337" s="0"/>
      <c r="AMC337" s="0"/>
      <c r="AMD337" s="0"/>
      <c r="AME337" s="0"/>
      <c r="AMF337" s="0"/>
      <c r="AMG337" s="0"/>
      <c r="AMH337" s="0"/>
      <c r="AMI337" s="0"/>
      <c r="AMJ337" s="0"/>
    </row>
    <row r="338" s="14" customFormat="true" ht="12.8" hidden="false" customHeight="false" outlineLevel="0" collapsed="false">
      <c r="C338" s="26"/>
      <c r="E338" s="26"/>
      <c r="H338" s="2"/>
      <c r="I338" s="26"/>
      <c r="J338" s="26"/>
      <c r="K338" s="26"/>
      <c r="O338" s="26"/>
      <c r="P338" s="26"/>
      <c r="Q338" s="26"/>
      <c r="R338" s="26"/>
      <c r="S338" s="26"/>
      <c r="T338" s="26"/>
      <c r="U338" s="26"/>
      <c r="W338" s="27"/>
      <c r="AE338" s="26"/>
      <c r="AF338" s="26"/>
      <c r="AG338" s="26"/>
      <c r="AH338" s="26"/>
      <c r="AI338" s="26"/>
      <c r="AJ338" s="26"/>
      <c r="AKX338" s="0"/>
      <c r="AKY338" s="0"/>
      <c r="AKZ338" s="0"/>
      <c r="ALA338" s="0"/>
      <c r="ALB338" s="0"/>
      <c r="ALC338" s="0"/>
      <c r="ALD338" s="0"/>
      <c r="ALE338" s="0"/>
      <c r="ALF338" s="0"/>
      <c r="ALG338" s="0"/>
      <c r="ALH338" s="0"/>
      <c r="ALI338" s="0"/>
      <c r="ALJ338" s="0"/>
      <c r="ALK338" s="0"/>
      <c r="ALL338" s="0"/>
      <c r="ALM338" s="0"/>
      <c r="ALN338" s="0"/>
      <c r="ALO338" s="0"/>
      <c r="ALP338" s="0"/>
      <c r="ALQ338" s="0"/>
      <c r="ALR338" s="0"/>
      <c r="ALS338" s="0"/>
      <c r="ALT338" s="0"/>
      <c r="ALU338" s="0"/>
      <c r="ALV338" s="0"/>
      <c r="ALW338" s="0"/>
      <c r="ALX338" s="0"/>
      <c r="ALY338" s="0"/>
      <c r="ALZ338" s="0"/>
      <c r="AMA338" s="0"/>
      <c r="AMB338" s="0"/>
      <c r="AMC338" s="0"/>
      <c r="AMD338" s="0"/>
      <c r="AME338" s="0"/>
      <c r="AMF338" s="0"/>
      <c r="AMG338" s="0"/>
      <c r="AMH338" s="0"/>
      <c r="AMI338" s="0"/>
      <c r="AMJ338" s="0"/>
    </row>
    <row r="339" s="14" customFormat="true" ht="12.8" hidden="false" customHeight="false" outlineLevel="0" collapsed="false">
      <c r="C339" s="26"/>
      <c r="E339" s="26"/>
      <c r="H339" s="2"/>
      <c r="I339" s="26"/>
      <c r="J339" s="26"/>
      <c r="K339" s="26"/>
      <c r="O339" s="26"/>
      <c r="P339" s="26"/>
      <c r="Q339" s="26"/>
      <c r="R339" s="26"/>
      <c r="S339" s="26"/>
      <c r="T339" s="26"/>
      <c r="U339" s="26"/>
      <c r="W339" s="27"/>
      <c r="AE339" s="26"/>
      <c r="AF339" s="26"/>
      <c r="AG339" s="26"/>
      <c r="AH339" s="26"/>
      <c r="AI339" s="26"/>
      <c r="AJ339" s="26"/>
      <c r="AKX339" s="0"/>
      <c r="AKY339" s="0"/>
      <c r="AKZ339" s="0"/>
      <c r="ALA339" s="0"/>
      <c r="ALB339" s="0"/>
      <c r="ALC339" s="0"/>
      <c r="ALD339" s="0"/>
      <c r="ALE339" s="0"/>
      <c r="ALF339" s="0"/>
      <c r="ALG339" s="0"/>
      <c r="ALH339" s="0"/>
      <c r="ALI339" s="0"/>
      <c r="ALJ339" s="0"/>
      <c r="ALK339" s="0"/>
      <c r="ALL339" s="0"/>
      <c r="ALM339" s="0"/>
      <c r="ALN339" s="0"/>
      <c r="ALO339" s="0"/>
      <c r="ALP339" s="0"/>
      <c r="ALQ339" s="0"/>
      <c r="ALR339" s="0"/>
      <c r="ALS339" s="0"/>
      <c r="ALT339" s="0"/>
      <c r="ALU339" s="0"/>
      <c r="ALV339" s="0"/>
      <c r="ALW339" s="0"/>
      <c r="ALX339" s="0"/>
      <c r="ALY339" s="0"/>
      <c r="ALZ339" s="0"/>
      <c r="AMA339" s="0"/>
      <c r="AMB339" s="0"/>
      <c r="AMC339" s="0"/>
      <c r="AMD339" s="0"/>
      <c r="AME339" s="0"/>
      <c r="AMF339" s="0"/>
      <c r="AMG339" s="0"/>
      <c r="AMH339" s="0"/>
      <c r="AMI339" s="0"/>
      <c r="AMJ339" s="0"/>
    </row>
    <row r="340" s="14" customFormat="true" ht="12.8" hidden="false" customHeight="false" outlineLevel="0" collapsed="false">
      <c r="C340" s="26"/>
      <c r="E340" s="26"/>
      <c r="H340" s="2"/>
      <c r="I340" s="26"/>
      <c r="J340" s="26"/>
      <c r="K340" s="26"/>
      <c r="O340" s="26"/>
      <c r="P340" s="26"/>
      <c r="Q340" s="26"/>
      <c r="R340" s="26"/>
      <c r="S340" s="26"/>
      <c r="T340" s="26"/>
      <c r="U340" s="26"/>
      <c r="W340" s="27"/>
      <c r="AE340" s="26"/>
      <c r="AF340" s="26"/>
      <c r="AG340" s="26"/>
      <c r="AH340" s="26"/>
      <c r="AI340" s="26"/>
      <c r="AJ340" s="26"/>
      <c r="AKX340" s="0"/>
      <c r="AKY340" s="0"/>
      <c r="AKZ340" s="0"/>
      <c r="ALA340" s="0"/>
      <c r="ALB340" s="0"/>
      <c r="ALC340" s="0"/>
      <c r="ALD340" s="0"/>
      <c r="ALE340" s="0"/>
      <c r="ALF340" s="0"/>
      <c r="ALG340" s="0"/>
      <c r="ALH340" s="0"/>
      <c r="ALI340" s="0"/>
      <c r="ALJ340" s="0"/>
      <c r="ALK340" s="0"/>
      <c r="ALL340" s="0"/>
      <c r="ALM340" s="0"/>
      <c r="ALN340" s="0"/>
      <c r="ALO340" s="0"/>
      <c r="ALP340" s="0"/>
      <c r="ALQ340" s="0"/>
      <c r="ALR340" s="0"/>
      <c r="ALS340" s="0"/>
      <c r="ALT340" s="0"/>
      <c r="ALU340" s="0"/>
      <c r="ALV340" s="0"/>
      <c r="ALW340" s="0"/>
      <c r="ALX340" s="0"/>
      <c r="ALY340" s="0"/>
      <c r="ALZ340" s="0"/>
      <c r="AMA340" s="0"/>
      <c r="AMB340" s="0"/>
      <c r="AMC340" s="0"/>
      <c r="AMD340" s="0"/>
      <c r="AME340" s="0"/>
      <c r="AMF340" s="0"/>
      <c r="AMG340" s="0"/>
      <c r="AMH340" s="0"/>
      <c r="AMI340" s="0"/>
      <c r="AMJ340" s="0"/>
    </row>
    <row r="341" s="14" customFormat="true" ht="12.8" hidden="false" customHeight="false" outlineLevel="0" collapsed="false">
      <c r="C341" s="26"/>
      <c r="E341" s="26"/>
      <c r="H341" s="2"/>
      <c r="I341" s="26"/>
      <c r="J341" s="26"/>
      <c r="K341" s="26"/>
      <c r="O341" s="26"/>
      <c r="P341" s="26"/>
      <c r="Q341" s="26"/>
      <c r="R341" s="26"/>
      <c r="S341" s="26"/>
      <c r="T341" s="26"/>
      <c r="U341" s="26"/>
      <c r="W341" s="27"/>
      <c r="AE341" s="26"/>
      <c r="AF341" s="26"/>
      <c r="AG341" s="26"/>
      <c r="AH341" s="26"/>
      <c r="AI341" s="26"/>
      <c r="AJ341" s="26"/>
      <c r="AKX341" s="0"/>
      <c r="AKY341" s="0"/>
      <c r="AKZ341" s="0"/>
      <c r="ALA341" s="0"/>
      <c r="ALB341" s="0"/>
      <c r="ALC341" s="0"/>
      <c r="ALD341" s="0"/>
      <c r="ALE341" s="0"/>
      <c r="ALF341" s="0"/>
      <c r="ALG341" s="0"/>
      <c r="ALH341" s="0"/>
      <c r="ALI341" s="0"/>
      <c r="ALJ341" s="0"/>
      <c r="ALK341" s="0"/>
      <c r="ALL341" s="0"/>
      <c r="ALM341" s="0"/>
      <c r="ALN341" s="0"/>
      <c r="ALO341" s="0"/>
      <c r="ALP341" s="0"/>
      <c r="ALQ341" s="0"/>
      <c r="ALR341" s="0"/>
      <c r="ALS341" s="0"/>
      <c r="ALT341" s="0"/>
      <c r="ALU341" s="0"/>
      <c r="ALV341" s="0"/>
      <c r="ALW341" s="0"/>
      <c r="ALX341" s="0"/>
      <c r="ALY341" s="0"/>
      <c r="ALZ341" s="0"/>
      <c r="AMA341" s="0"/>
      <c r="AMB341" s="0"/>
      <c r="AMC341" s="0"/>
      <c r="AMD341" s="0"/>
      <c r="AME341" s="0"/>
      <c r="AMF341" s="0"/>
      <c r="AMG341" s="0"/>
      <c r="AMH341" s="0"/>
      <c r="AMI341" s="0"/>
      <c r="AMJ341" s="0"/>
    </row>
    <row r="342" s="14" customFormat="true" ht="12.8" hidden="false" customHeight="false" outlineLevel="0" collapsed="false">
      <c r="C342" s="26"/>
      <c r="E342" s="26"/>
      <c r="H342" s="2"/>
      <c r="I342" s="26"/>
      <c r="J342" s="26"/>
      <c r="K342" s="26"/>
      <c r="O342" s="26"/>
      <c r="P342" s="26"/>
      <c r="Q342" s="26"/>
      <c r="R342" s="26"/>
      <c r="S342" s="26"/>
      <c r="T342" s="26"/>
      <c r="U342" s="26"/>
      <c r="W342" s="27"/>
      <c r="AE342" s="26"/>
      <c r="AF342" s="26"/>
      <c r="AG342" s="26"/>
      <c r="AH342" s="26"/>
      <c r="AI342" s="26"/>
      <c r="AJ342" s="26"/>
      <c r="AKX342" s="0"/>
      <c r="AKY342" s="0"/>
      <c r="AKZ342" s="0"/>
      <c r="ALA342" s="0"/>
      <c r="ALB342" s="0"/>
      <c r="ALC342" s="0"/>
      <c r="ALD342" s="0"/>
      <c r="ALE342" s="0"/>
      <c r="ALF342" s="0"/>
      <c r="ALG342" s="0"/>
      <c r="ALH342" s="0"/>
      <c r="ALI342" s="0"/>
      <c r="ALJ342" s="0"/>
      <c r="ALK342" s="0"/>
      <c r="ALL342" s="0"/>
      <c r="ALM342" s="0"/>
      <c r="ALN342" s="0"/>
      <c r="ALO342" s="0"/>
      <c r="ALP342" s="0"/>
      <c r="ALQ342" s="0"/>
      <c r="ALR342" s="0"/>
      <c r="ALS342" s="0"/>
      <c r="ALT342" s="0"/>
      <c r="ALU342" s="0"/>
      <c r="ALV342" s="0"/>
      <c r="ALW342" s="0"/>
      <c r="ALX342" s="0"/>
      <c r="ALY342" s="0"/>
      <c r="ALZ342" s="0"/>
      <c r="AMA342" s="0"/>
      <c r="AMB342" s="0"/>
      <c r="AMC342" s="0"/>
      <c r="AMD342" s="0"/>
      <c r="AME342" s="0"/>
      <c r="AMF342" s="0"/>
      <c r="AMG342" s="0"/>
      <c r="AMH342" s="0"/>
      <c r="AMI342" s="0"/>
      <c r="AMJ342" s="0"/>
    </row>
    <row r="343" s="14" customFormat="true" ht="12.8" hidden="false" customHeight="false" outlineLevel="0" collapsed="false">
      <c r="C343" s="26"/>
      <c r="E343" s="26"/>
      <c r="H343" s="2"/>
      <c r="I343" s="26"/>
      <c r="J343" s="26"/>
      <c r="K343" s="26"/>
      <c r="O343" s="26"/>
      <c r="P343" s="26"/>
      <c r="Q343" s="26"/>
      <c r="R343" s="26"/>
      <c r="S343" s="26"/>
      <c r="T343" s="26"/>
      <c r="U343" s="26"/>
      <c r="W343" s="27"/>
      <c r="AE343" s="26"/>
      <c r="AF343" s="26"/>
      <c r="AG343" s="26"/>
      <c r="AH343" s="26"/>
      <c r="AI343" s="26"/>
      <c r="AJ343" s="26"/>
      <c r="AKX343" s="0"/>
      <c r="AKY343" s="0"/>
      <c r="AKZ343" s="0"/>
      <c r="ALA343" s="0"/>
      <c r="ALB343" s="0"/>
      <c r="ALC343" s="0"/>
      <c r="ALD343" s="0"/>
      <c r="ALE343" s="0"/>
      <c r="ALF343" s="0"/>
      <c r="ALG343" s="0"/>
      <c r="ALH343" s="0"/>
      <c r="ALI343" s="0"/>
      <c r="ALJ343" s="0"/>
      <c r="ALK343" s="0"/>
      <c r="ALL343" s="0"/>
      <c r="ALM343" s="0"/>
      <c r="ALN343" s="0"/>
      <c r="ALO343" s="0"/>
      <c r="ALP343" s="0"/>
      <c r="ALQ343" s="0"/>
      <c r="ALR343" s="0"/>
      <c r="ALS343" s="0"/>
      <c r="ALT343" s="0"/>
      <c r="ALU343" s="0"/>
      <c r="ALV343" s="0"/>
      <c r="ALW343" s="0"/>
      <c r="ALX343" s="0"/>
      <c r="ALY343" s="0"/>
      <c r="ALZ343" s="0"/>
      <c r="AMA343" s="0"/>
      <c r="AMB343" s="0"/>
      <c r="AMC343" s="0"/>
      <c r="AMD343" s="0"/>
      <c r="AME343" s="0"/>
      <c r="AMF343" s="0"/>
      <c r="AMG343" s="0"/>
      <c r="AMH343" s="0"/>
      <c r="AMI343" s="0"/>
      <c r="AMJ343" s="0"/>
    </row>
    <row r="344" s="14" customFormat="true" ht="12.8" hidden="false" customHeight="false" outlineLevel="0" collapsed="false">
      <c r="C344" s="26"/>
      <c r="E344" s="26"/>
      <c r="H344" s="2"/>
      <c r="I344" s="26"/>
      <c r="J344" s="26"/>
      <c r="K344" s="26"/>
      <c r="O344" s="26"/>
      <c r="P344" s="26"/>
      <c r="Q344" s="26"/>
      <c r="R344" s="26"/>
      <c r="S344" s="26"/>
      <c r="T344" s="26"/>
      <c r="U344" s="26"/>
      <c r="W344" s="27"/>
      <c r="AE344" s="26"/>
      <c r="AF344" s="26"/>
      <c r="AG344" s="26"/>
      <c r="AH344" s="26"/>
      <c r="AI344" s="26"/>
      <c r="AJ344" s="26"/>
      <c r="AKX344" s="0"/>
      <c r="AKY344" s="0"/>
      <c r="AKZ344" s="0"/>
      <c r="ALA344" s="0"/>
      <c r="ALB344" s="0"/>
      <c r="ALC344" s="0"/>
      <c r="ALD344" s="0"/>
      <c r="ALE344" s="0"/>
      <c r="ALF344" s="0"/>
      <c r="ALG344" s="0"/>
      <c r="ALH344" s="0"/>
      <c r="ALI344" s="0"/>
      <c r="ALJ344" s="0"/>
      <c r="ALK344" s="0"/>
      <c r="ALL344" s="0"/>
      <c r="ALM344" s="0"/>
      <c r="ALN344" s="0"/>
      <c r="ALO344" s="0"/>
      <c r="ALP344" s="0"/>
      <c r="ALQ344" s="0"/>
      <c r="ALR344" s="0"/>
      <c r="ALS344" s="0"/>
      <c r="ALT344" s="0"/>
      <c r="ALU344" s="0"/>
      <c r="ALV344" s="0"/>
      <c r="ALW344" s="0"/>
      <c r="ALX344" s="0"/>
      <c r="ALY344" s="0"/>
      <c r="ALZ344" s="0"/>
      <c r="AMA344" s="0"/>
      <c r="AMB344" s="0"/>
      <c r="AMC344" s="0"/>
      <c r="AMD344" s="0"/>
      <c r="AME344" s="0"/>
      <c r="AMF344" s="0"/>
      <c r="AMG344" s="0"/>
      <c r="AMH344" s="0"/>
      <c r="AMI344" s="0"/>
      <c r="AMJ344" s="0"/>
    </row>
    <row r="345" s="14" customFormat="true" ht="12.8" hidden="false" customHeight="false" outlineLevel="0" collapsed="false">
      <c r="C345" s="26"/>
      <c r="E345" s="26"/>
      <c r="H345" s="2"/>
      <c r="I345" s="26"/>
      <c r="J345" s="26"/>
      <c r="K345" s="26"/>
      <c r="O345" s="26"/>
      <c r="P345" s="26"/>
      <c r="Q345" s="26"/>
      <c r="R345" s="26"/>
      <c r="S345" s="26"/>
      <c r="T345" s="26"/>
      <c r="U345" s="26"/>
      <c r="W345" s="27"/>
      <c r="AE345" s="26"/>
      <c r="AF345" s="26"/>
      <c r="AG345" s="26"/>
      <c r="AH345" s="26"/>
      <c r="AI345" s="26"/>
      <c r="AJ345" s="26"/>
      <c r="AKX345" s="0"/>
      <c r="AKY345" s="0"/>
      <c r="AKZ345" s="0"/>
      <c r="ALA345" s="0"/>
      <c r="ALB345" s="0"/>
      <c r="ALC345" s="0"/>
      <c r="ALD345" s="0"/>
      <c r="ALE345" s="0"/>
      <c r="ALF345" s="0"/>
      <c r="ALG345" s="0"/>
      <c r="ALH345" s="0"/>
      <c r="ALI345" s="0"/>
      <c r="ALJ345" s="0"/>
      <c r="ALK345" s="0"/>
      <c r="ALL345" s="0"/>
      <c r="ALM345" s="0"/>
      <c r="ALN345" s="0"/>
      <c r="ALO345" s="0"/>
      <c r="ALP345" s="0"/>
      <c r="ALQ345" s="0"/>
      <c r="ALR345" s="0"/>
      <c r="ALS345" s="0"/>
      <c r="ALT345" s="0"/>
      <c r="ALU345" s="0"/>
      <c r="ALV345" s="0"/>
      <c r="ALW345" s="0"/>
      <c r="ALX345" s="0"/>
      <c r="ALY345" s="0"/>
      <c r="ALZ345" s="0"/>
      <c r="AMA345" s="0"/>
      <c r="AMB345" s="0"/>
      <c r="AMC345" s="0"/>
      <c r="AMD345" s="0"/>
      <c r="AME345" s="0"/>
      <c r="AMF345" s="0"/>
      <c r="AMG345" s="0"/>
      <c r="AMH345" s="0"/>
      <c r="AMI345" s="0"/>
      <c r="AMJ345" s="0"/>
    </row>
    <row r="346" s="14" customFormat="true" ht="12.8" hidden="false" customHeight="false" outlineLevel="0" collapsed="false">
      <c r="C346" s="26"/>
      <c r="E346" s="26"/>
      <c r="H346" s="2"/>
      <c r="I346" s="26"/>
      <c r="J346" s="26"/>
      <c r="K346" s="26"/>
      <c r="O346" s="26"/>
      <c r="P346" s="26"/>
      <c r="Q346" s="26"/>
      <c r="R346" s="26"/>
      <c r="S346" s="26"/>
      <c r="T346" s="26"/>
      <c r="U346" s="26"/>
      <c r="W346" s="27"/>
      <c r="AE346" s="26"/>
      <c r="AF346" s="26"/>
      <c r="AG346" s="26"/>
      <c r="AH346" s="26"/>
      <c r="AI346" s="26"/>
      <c r="AJ346" s="26"/>
      <c r="AKX346" s="0"/>
      <c r="AKY346" s="0"/>
      <c r="AKZ346" s="0"/>
      <c r="ALA346" s="0"/>
      <c r="ALB346" s="0"/>
      <c r="ALC346" s="0"/>
      <c r="ALD346" s="0"/>
      <c r="ALE346" s="0"/>
      <c r="ALF346" s="0"/>
      <c r="ALG346" s="0"/>
      <c r="ALH346" s="0"/>
      <c r="ALI346" s="0"/>
      <c r="ALJ346" s="0"/>
      <c r="ALK346" s="0"/>
      <c r="ALL346" s="0"/>
      <c r="ALM346" s="0"/>
      <c r="ALN346" s="0"/>
      <c r="ALO346" s="0"/>
      <c r="ALP346" s="0"/>
      <c r="ALQ346" s="0"/>
      <c r="ALR346" s="0"/>
      <c r="ALS346" s="0"/>
      <c r="ALT346" s="0"/>
      <c r="ALU346" s="0"/>
      <c r="ALV346" s="0"/>
      <c r="ALW346" s="0"/>
      <c r="ALX346" s="0"/>
      <c r="ALY346" s="0"/>
      <c r="ALZ346" s="0"/>
      <c r="AMA346" s="0"/>
      <c r="AMB346" s="0"/>
      <c r="AMC346" s="0"/>
      <c r="AMD346" s="0"/>
      <c r="AME346" s="0"/>
      <c r="AMF346" s="0"/>
      <c r="AMG346" s="0"/>
      <c r="AMH346" s="0"/>
      <c r="AMI346" s="0"/>
      <c r="AMJ346" s="0"/>
    </row>
    <row r="347" s="14" customFormat="true" ht="12.8" hidden="false" customHeight="false" outlineLevel="0" collapsed="false">
      <c r="C347" s="26"/>
      <c r="E347" s="26"/>
      <c r="H347" s="2"/>
      <c r="I347" s="26"/>
      <c r="J347" s="26"/>
      <c r="K347" s="26"/>
      <c r="O347" s="26"/>
      <c r="P347" s="26"/>
      <c r="Q347" s="26"/>
      <c r="R347" s="26"/>
      <c r="S347" s="26"/>
      <c r="T347" s="26"/>
      <c r="U347" s="26"/>
      <c r="W347" s="27"/>
      <c r="AE347" s="26"/>
      <c r="AF347" s="26"/>
      <c r="AG347" s="26"/>
      <c r="AH347" s="26"/>
      <c r="AI347" s="26"/>
      <c r="AJ347" s="26"/>
      <c r="AKX347" s="0"/>
      <c r="AKY347" s="0"/>
      <c r="AKZ347" s="0"/>
      <c r="ALA347" s="0"/>
      <c r="ALB347" s="0"/>
      <c r="ALC347" s="0"/>
      <c r="ALD347" s="0"/>
      <c r="ALE347" s="0"/>
      <c r="ALF347" s="0"/>
      <c r="ALG347" s="0"/>
      <c r="ALH347" s="0"/>
      <c r="ALI347" s="0"/>
      <c r="ALJ347" s="0"/>
      <c r="ALK347" s="0"/>
      <c r="ALL347" s="0"/>
      <c r="ALM347" s="0"/>
      <c r="ALN347" s="0"/>
      <c r="ALO347" s="0"/>
      <c r="ALP347" s="0"/>
      <c r="ALQ347" s="0"/>
      <c r="ALR347" s="0"/>
      <c r="ALS347" s="0"/>
      <c r="ALT347" s="0"/>
      <c r="ALU347" s="0"/>
      <c r="ALV347" s="0"/>
      <c r="ALW347" s="0"/>
      <c r="ALX347" s="0"/>
      <c r="ALY347" s="0"/>
      <c r="ALZ347" s="0"/>
      <c r="AMA347" s="0"/>
      <c r="AMB347" s="0"/>
      <c r="AMC347" s="0"/>
      <c r="AMD347" s="0"/>
      <c r="AME347" s="0"/>
      <c r="AMF347" s="0"/>
      <c r="AMG347" s="0"/>
      <c r="AMH347" s="0"/>
      <c r="AMI347" s="0"/>
      <c r="AMJ347" s="0"/>
    </row>
    <row r="348" s="14" customFormat="true" ht="12.8" hidden="false" customHeight="false" outlineLevel="0" collapsed="false">
      <c r="C348" s="26"/>
      <c r="E348" s="26"/>
      <c r="H348" s="2"/>
      <c r="I348" s="26"/>
      <c r="J348" s="26"/>
      <c r="K348" s="26"/>
      <c r="O348" s="26"/>
      <c r="P348" s="26"/>
      <c r="Q348" s="26"/>
      <c r="R348" s="26"/>
      <c r="S348" s="26"/>
      <c r="T348" s="26"/>
      <c r="U348" s="26"/>
      <c r="W348" s="27"/>
      <c r="AE348" s="26"/>
      <c r="AF348" s="26"/>
      <c r="AG348" s="26"/>
      <c r="AH348" s="26"/>
      <c r="AI348" s="26"/>
      <c r="AJ348" s="26"/>
      <c r="AKX348" s="0"/>
      <c r="AKY348" s="0"/>
      <c r="AKZ348" s="0"/>
      <c r="ALA348" s="0"/>
      <c r="ALB348" s="0"/>
      <c r="ALC348" s="0"/>
      <c r="ALD348" s="0"/>
      <c r="ALE348" s="0"/>
      <c r="ALF348" s="0"/>
      <c r="ALG348" s="0"/>
      <c r="ALH348" s="0"/>
      <c r="ALI348" s="0"/>
      <c r="ALJ348" s="0"/>
      <c r="ALK348" s="0"/>
      <c r="ALL348" s="0"/>
      <c r="ALM348" s="0"/>
      <c r="ALN348" s="0"/>
      <c r="ALO348" s="0"/>
      <c r="ALP348" s="0"/>
      <c r="ALQ348" s="0"/>
      <c r="ALR348" s="0"/>
      <c r="ALS348" s="0"/>
      <c r="ALT348" s="0"/>
      <c r="ALU348" s="0"/>
      <c r="ALV348" s="0"/>
      <c r="ALW348" s="0"/>
      <c r="ALX348" s="0"/>
      <c r="ALY348" s="0"/>
      <c r="ALZ348" s="0"/>
      <c r="AMA348" s="0"/>
      <c r="AMB348" s="0"/>
      <c r="AMC348" s="0"/>
      <c r="AMD348" s="0"/>
      <c r="AME348" s="0"/>
      <c r="AMF348" s="0"/>
      <c r="AMG348" s="0"/>
      <c r="AMH348" s="0"/>
      <c r="AMI348" s="0"/>
      <c r="AMJ348" s="0"/>
    </row>
    <row r="349" s="14" customFormat="true" ht="12.8" hidden="false" customHeight="false" outlineLevel="0" collapsed="false">
      <c r="C349" s="26"/>
      <c r="E349" s="26"/>
      <c r="H349" s="2"/>
      <c r="I349" s="26"/>
      <c r="J349" s="26"/>
      <c r="K349" s="26"/>
      <c r="O349" s="26"/>
      <c r="P349" s="26"/>
      <c r="Q349" s="26"/>
      <c r="R349" s="26"/>
      <c r="S349" s="26"/>
      <c r="T349" s="26"/>
      <c r="U349" s="26"/>
      <c r="W349" s="27"/>
      <c r="AE349" s="26"/>
      <c r="AF349" s="26"/>
      <c r="AG349" s="26"/>
      <c r="AH349" s="26"/>
      <c r="AI349" s="26"/>
      <c r="AJ349" s="26"/>
      <c r="AKX349" s="0"/>
      <c r="AKY349" s="0"/>
      <c r="AKZ349" s="0"/>
      <c r="ALA349" s="0"/>
      <c r="ALB349" s="0"/>
      <c r="ALC349" s="0"/>
      <c r="ALD349" s="0"/>
      <c r="ALE349" s="0"/>
      <c r="ALF349" s="0"/>
      <c r="ALG349" s="0"/>
      <c r="ALH349" s="0"/>
      <c r="ALI349" s="0"/>
      <c r="ALJ349" s="0"/>
      <c r="ALK349" s="0"/>
      <c r="ALL349" s="0"/>
      <c r="ALM349" s="0"/>
      <c r="ALN349" s="0"/>
      <c r="ALO349" s="0"/>
      <c r="ALP349" s="0"/>
      <c r="ALQ349" s="0"/>
      <c r="ALR349" s="0"/>
      <c r="ALS349" s="0"/>
      <c r="ALT349" s="0"/>
      <c r="ALU349" s="0"/>
      <c r="ALV349" s="0"/>
      <c r="ALW349" s="0"/>
      <c r="ALX349" s="0"/>
      <c r="ALY349" s="0"/>
      <c r="ALZ349" s="0"/>
      <c r="AMA349" s="0"/>
      <c r="AMB349" s="0"/>
      <c r="AMC349" s="0"/>
      <c r="AMD349" s="0"/>
      <c r="AME349" s="0"/>
      <c r="AMF349" s="0"/>
      <c r="AMG349" s="0"/>
      <c r="AMH349" s="0"/>
      <c r="AMI349" s="0"/>
      <c r="AMJ349" s="0"/>
    </row>
    <row r="350" s="14" customFormat="true" ht="12.8" hidden="false" customHeight="false" outlineLevel="0" collapsed="false">
      <c r="C350" s="26"/>
      <c r="E350" s="26"/>
      <c r="H350" s="2"/>
      <c r="I350" s="26"/>
      <c r="J350" s="26"/>
      <c r="K350" s="26"/>
      <c r="O350" s="26"/>
      <c r="P350" s="26"/>
      <c r="Q350" s="26"/>
      <c r="R350" s="26"/>
      <c r="S350" s="26"/>
      <c r="T350" s="26"/>
      <c r="U350" s="26"/>
      <c r="W350" s="27"/>
      <c r="AE350" s="26"/>
      <c r="AF350" s="26"/>
      <c r="AG350" s="26"/>
      <c r="AH350" s="26"/>
      <c r="AI350" s="26"/>
      <c r="AJ350" s="26"/>
      <c r="AKX350" s="0"/>
      <c r="AKY350" s="0"/>
      <c r="AKZ350" s="0"/>
      <c r="ALA350" s="0"/>
      <c r="ALB350" s="0"/>
      <c r="ALC350" s="0"/>
      <c r="ALD350" s="0"/>
      <c r="ALE350" s="0"/>
      <c r="ALF350" s="0"/>
      <c r="ALG350" s="0"/>
      <c r="ALH350" s="0"/>
      <c r="ALI350" s="0"/>
      <c r="ALJ350" s="0"/>
      <c r="ALK350" s="0"/>
      <c r="ALL350" s="0"/>
      <c r="ALM350" s="0"/>
      <c r="ALN350" s="0"/>
      <c r="ALO350" s="0"/>
      <c r="ALP350" s="0"/>
      <c r="ALQ350" s="0"/>
      <c r="ALR350" s="0"/>
      <c r="ALS350" s="0"/>
      <c r="ALT350" s="0"/>
      <c r="ALU350" s="0"/>
      <c r="ALV350" s="0"/>
      <c r="ALW350" s="0"/>
      <c r="ALX350" s="0"/>
      <c r="ALY350" s="0"/>
      <c r="ALZ350" s="0"/>
      <c r="AMA350" s="0"/>
      <c r="AMB350" s="0"/>
      <c r="AMC350" s="0"/>
      <c r="AMD350" s="0"/>
      <c r="AME350" s="0"/>
      <c r="AMF350" s="0"/>
      <c r="AMG350" s="0"/>
      <c r="AMH350" s="0"/>
      <c r="AMI350" s="0"/>
      <c r="AMJ350" s="0"/>
    </row>
    <row r="351" s="14" customFormat="true" ht="12.8" hidden="false" customHeight="false" outlineLevel="0" collapsed="false">
      <c r="C351" s="26"/>
      <c r="E351" s="26"/>
      <c r="H351" s="2"/>
      <c r="I351" s="26"/>
      <c r="J351" s="26"/>
      <c r="K351" s="26"/>
      <c r="O351" s="26"/>
      <c r="P351" s="26"/>
      <c r="Q351" s="26"/>
      <c r="R351" s="26"/>
      <c r="S351" s="26"/>
      <c r="T351" s="26"/>
      <c r="U351" s="26"/>
      <c r="W351" s="27"/>
      <c r="AE351" s="26"/>
      <c r="AF351" s="26"/>
      <c r="AG351" s="26"/>
      <c r="AH351" s="26"/>
      <c r="AI351" s="26"/>
      <c r="AJ351" s="26"/>
      <c r="AKX351" s="0"/>
      <c r="AKY351" s="0"/>
      <c r="AKZ351" s="0"/>
      <c r="ALA351" s="0"/>
      <c r="ALB351" s="0"/>
      <c r="ALC351" s="0"/>
      <c r="ALD351" s="0"/>
      <c r="ALE351" s="0"/>
      <c r="ALF351" s="0"/>
      <c r="ALG351" s="0"/>
      <c r="ALH351" s="0"/>
      <c r="ALI351" s="0"/>
      <c r="ALJ351" s="0"/>
      <c r="ALK351" s="0"/>
      <c r="ALL351" s="0"/>
      <c r="ALM351" s="0"/>
      <c r="ALN351" s="0"/>
      <c r="ALO351" s="0"/>
      <c r="ALP351" s="0"/>
      <c r="ALQ351" s="0"/>
      <c r="ALR351" s="0"/>
      <c r="ALS351" s="0"/>
      <c r="ALT351" s="0"/>
      <c r="ALU351" s="0"/>
      <c r="ALV351" s="0"/>
      <c r="ALW351" s="0"/>
      <c r="ALX351" s="0"/>
      <c r="ALY351" s="0"/>
      <c r="ALZ351" s="0"/>
      <c r="AMA351" s="0"/>
      <c r="AMB351" s="0"/>
      <c r="AMC351" s="0"/>
      <c r="AMD351" s="0"/>
      <c r="AME351" s="0"/>
      <c r="AMF351" s="0"/>
      <c r="AMG351" s="0"/>
      <c r="AMH351" s="0"/>
      <c r="AMI351" s="0"/>
      <c r="AMJ351" s="0"/>
    </row>
    <row r="352" s="14" customFormat="true" ht="12.8" hidden="false" customHeight="false" outlineLevel="0" collapsed="false">
      <c r="C352" s="26"/>
      <c r="E352" s="26"/>
      <c r="H352" s="2"/>
      <c r="I352" s="26"/>
      <c r="J352" s="26"/>
      <c r="K352" s="26"/>
      <c r="O352" s="26"/>
      <c r="P352" s="26"/>
      <c r="Q352" s="26"/>
      <c r="R352" s="26"/>
      <c r="S352" s="26"/>
      <c r="T352" s="26"/>
      <c r="U352" s="26"/>
      <c r="W352" s="27"/>
      <c r="AE352" s="26"/>
      <c r="AF352" s="26"/>
      <c r="AG352" s="26"/>
      <c r="AH352" s="26"/>
      <c r="AI352" s="26"/>
      <c r="AJ352" s="26"/>
      <c r="AKX352" s="0"/>
      <c r="AKY352" s="0"/>
      <c r="AKZ352" s="0"/>
      <c r="ALA352" s="0"/>
      <c r="ALB352" s="0"/>
      <c r="ALC352" s="0"/>
      <c r="ALD352" s="0"/>
      <c r="ALE352" s="0"/>
      <c r="ALF352" s="0"/>
      <c r="ALG352" s="0"/>
      <c r="ALH352" s="0"/>
      <c r="ALI352" s="0"/>
      <c r="ALJ352" s="0"/>
      <c r="ALK352" s="0"/>
      <c r="ALL352" s="0"/>
      <c r="ALM352" s="0"/>
      <c r="ALN352" s="0"/>
      <c r="ALO352" s="0"/>
      <c r="ALP352" s="0"/>
      <c r="ALQ352" s="0"/>
      <c r="ALR352" s="0"/>
      <c r="ALS352" s="0"/>
      <c r="ALT352" s="0"/>
      <c r="ALU352" s="0"/>
      <c r="ALV352" s="0"/>
      <c r="ALW352" s="0"/>
      <c r="ALX352" s="0"/>
      <c r="ALY352" s="0"/>
      <c r="ALZ352" s="0"/>
      <c r="AMA352" s="0"/>
      <c r="AMB352" s="0"/>
      <c r="AMC352" s="0"/>
      <c r="AMD352" s="0"/>
      <c r="AME352" s="0"/>
      <c r="AMF352" s="0"/>
      <c r="AMG352" s="0"/>
      <c r="AMH352" s="0"/>
      <c r="AMI352" s="0"/>
      <c r="AMJ352" s="0"/>
    </row>
    <row r="353" s="14" customFormat="true" ht="12.8" hidden="false" customHeight="false" outlineLevel="0" collapsed="false">
      <c r="C353" s="26"/>
      <c r="E353" s="26"/>
      <c r="H353" s="2"/>
      <c r="I353" s="26"/>
      <c r="J353" s="26"/>
      <c r="K353" s="26"/>
      <c r="O353" s="26"/>
      <c r="P353" s="26"/>
      <c r="Q353" s="26"/>
      <c r="R353" s="26"/>
      <c r="S353" s="26"/>
      <c r="T353" s="26"/>
      <c r="U353" s="26"/>
      <c r="W353" s="27"/>
      <c r="AE353" s="26"/>
      <c r="AF353" s="26"/>
      <c r="AG353" s="26"/>
      <c r="AH353" s="26"/>
      <c r="AI353" s="26"/>
      <c r="AJ353" s="26"/>
      <c r="AKX353" s="0"/>
      <c r="AKY353" s="0"/>
      <c r="AKZ353" s="0"/>
      <c r="ALA353" s="0"/>
      <c r="ALB353" s="0"/>
      <c r="ALC353" s="0"/>
      <c r="ALD353" s="0"/>
      <c r="ALE353" s="0"/>
      <c r="ALF353" s="0"/>
      <c r="ALG353" s="0"/>
      <c r="ALH353" s="0"/>
      <c r="ALI353" s="0"/>
      <c r="ALJ353" s="0"/>
      <c r="ALK353" s="0"/>
      <c r="ALL353" s="0"/>
      <c r="ALM353" s="0"/>
      <c r="ALN353" s="0"/>
      <c r="ALO353" s="0"/>
      <c r="ALP353" s="0"/>
      <c r="ALQ353" s="0"/>
      <c r="ALR353" s="0"/>
      <c r="ALS353" s="0"/>
      <c r="ALT353" s="0"/>
      <c r="ALU353" s="0"/>
      <c r="ALV353" s="0"/>
      <c r="ALW353" s="0"/>
      <c r="ALX353" s="0"/>
      <c r="ALY353" s="0"/>
      <c r="ALZ353" s="0"/>
      <c r="AMA353" s="0"/>
      <c r="AMB353" s="0"/>
      <c r="AMC353" s="0"/>
      <c r="AMD353" s="0"/>
      <c r="AME353" s="0"/>
      <c r="AMF353" s="0"/>
      <c r="AMG353" s="0"/>
      <c r="AMH353" s="0"/>
      <c r="AMI353" s="0"/>
      <c r="AMJ353" s="0"/>
    </row>
    <row r="354" s="14" customFormat="true" ht="12.8" hidden="false" customHeight="false" outlineLevel="0" collapsed="false">
      <c r="C354" s="26"/>
      <c r="E354" s="26"/>
      <c r="H354" s="2"/>
      <c r="I354" s="26"/>
      <c r="J354" s="26"/>
      <c r="K354" s="26"/>
      <c r="O354" s="26"/>
      <c r="P354" s="26"/>
      <c r="Q354" s="26"/>
      <c r="R354" s="26"/>
      <c r="S354" s="26"/>
      <c r="T354" s="26"/>
      <c r="U354" s="26"/>
      <c r="W354" s="27"/>
      <c r="AE354" s="26"/>
      <c r="AF354" s="26"/>
      <c r="AG354" s="26"/>
      <c r="AH354" s="26"/>
      <c r="AI354" s="26"/>
      <c r="AJ354" s="26"/>
      <c r="AKX354" s="0"/>
      <c r="AKY354" s="0"/>
      <c r="AKZ354" s="0"/>
      <c r="ALA354" s="0"/>
      <c r="ALB354" s="0"/>
      <c r="ALC354" s="0"/>
      <c r="ALD354" s="0"/>
      <c r="ALE354" s="0"/>
      <c r="ALF354" s="0"/>
      <c r="ALG354" s="0"/>
      <c r="ALH354" s="0"/>
      <c r="ALI354" s="0"/>
      <c r="ALJ354" s="0"/>
      <c r="ALK354" s="0"/>
      <c r="ALL354" s="0"/>
      <c r="ALM354" s="0"/>
      <c r="ALN354" s="0"/>
      <c r="ALO354" s="0"/>
      <c r="ALP354" s="0"/>
      <c r="ALQ354" s="0"/>
      <c r="ALR354" s="0"/>
      <c r="ALS354" s="0"/>
      <c r="ALT354" s="0"/>
      <c r="ALU354" s="0"/>
      <c r="ALV354" s="0"/>
      <c r="ALW354" s="0"/>
      <c r="ALX354" s="0"/>
      <c r="ALY354" s="0"/>
      <c r="ALZ354" s="0"/>
      <c r="AMA354" s="0"/>
      <c r="AMB354" s="0"/>
      <c r="AMC354" s="0"/>
      <c r="AMD354" s="0"/>
      <c r="AME354" s="0"/>
      <c r="AMF354" s="0"/>
      <c r="AMG354" s="0"/>
      <c r="AMH354" s="0"/>
      <c r="AMI354" s="0"/>
      <c r="AMJ354" s="0"/>
    </row>
    <row r="355" s="14" customFormat="true" ht="12.8" hidden="false" customHeight="false" outlineLevel="0" collapsed="false">
      <c r="C355" s="26"/>
      <c r="E355" s="26"/>
      <c r="H355" s="2"/>
      <c r="I355" s="26"/>
      <c r="J355" s="26"/>
      <c r="K355" s="26"/>
      <c r="O355" s="26"/>
      <c r="P355" s="26"/>
      <c r="Q355" s="26"/>
      <c r="R355" s="26"/>
      <c r="S355" s="26"/>
      <c r="T355" s="26"/>
      <c r="U355" s="26"/>
      <c r="W355" s="27"/>
      <c r="AE355" s="26"/>
      <c r="AF355" s="26"/>
      <c r="AG355" s="26"/>
      <c r="AH355" s="26"/>
      <c r="AI355" s="26"/>
      <c r="AJ355" s="26"/>
      <c r="AKX355" s="0"/>
      <c r="AKY355" s="0"/>
      <c r="AKZ355" s="0"/>
      <c r="ALA355" s="0"/>
      <c r="ALB355" s="0"/>
      <c r="ALC355" s="0"/>
      <c r="ALD355" s="0"/>
      <c r="ALE355" s="0"/>
      <c r="ALF355" s="0"/>
      <c r="ALG355" s="0"/>
      <c r="ALH355" s="0"/>
      <c r="ALI355" s="0"/>
      <c r="ALJ355" s="0"/>
      <c r="ALK355" s="0"/>
      <c r="ALL355" s="0"/>
      <c r="ALM355" s="0"/>
      <c r="ALN355" s="0"/>
      <c r="ALO355" s="0"/>
      <c r="ALP355" s="0"/>
      <c r="ALQ355" s="0"/>
      <c r="ALR355" s="0"/>
      <c r="ALS355" s="0"/>
      <c r="ALT355" s="0"/>
      <c r="ALU355" s="0"/>
      <c r="ALV355" s="0"/>
      <c r="ALW355" s="0"/>
      <c r="ALX355" s="0"/>
      <c r="ALY355" s="0"/>
      <c r="ALZ355" s="0"/>
      <c r="AMA355" s="0"/>
      <c r="AMB355" s="0"/>
      <c r="AMC355" s="0"/>
      <c r="AMD355" s="0"/>
      <c r="AME355" s="0"/>
      <c r="AMF355" s="0"/>
      <c r="AMG355" s="0"/>
      <c r="AMH355" s="0"/>
      <c r="AMI355" s="0"/>
      <c r="AMJ355" s="0"/>
    </row>
    <row r="356" s="14" customFormat="true" ht="12.8" hidden="false" customHeight="false" outlineLevel="0" collapsed="false">
      <c r="C356" s="26"/>
      <c r="E356" s="26"/>
      <c r="H356" s="2"/>
      <c r="I356" s="26"/>
      <c r="J356" s="26"/>
      <c r="K356" s="26"/>
      <c r="O356" s="26"/>
      <c r="P356" s="26"/>
      <c r="Q356" s="26"/>
      <c r="R356" s="26"/>
      <c r="S356" s="26"/>
      <c r="T356" s="26"/>
      <c r="U356" s="26"/>
      <c r="W356" s="27"/>
      <c r="AE356" s="26"/>
      <c r="AF356" s="26"/>
      <c r="AG356" s="26"/>
      <c r="AH356" s="26"/>
      <c r="AI356" s="26"/>
      <c r="AJ356" s="26"/>
      <c r="AKX356" s="0"/>
      <c r="AKY356" s="0"/>
      <c r="AKZ356" s="0"/>
      <c r="ALA356" s="0"/>
      <c r="ALB356" s="0"/>
      <c r="ALC356" s="0"/>
      <c r="ALD356" s="0"/>
      <c r="ALE356" s="0"/>
      <c r="ALF356" s="0"/>
      <c r="ALG356" s="0"/>
      <c r="ALH356" s="0"/>
      <c r="ALI356" s="0"/>
      <c r="ALJ356" s="0"/>
      <c r="ALK356" s="0"/>
      <c r="ALL356" s="0"/>
      <c r="ALM356" s="0"/>
      <c r="ALN356" s="0"/>
      <c r="ALO356" s="0"/>
      <c r="ALP356" s="0"/>
      <c r="ALQ356" s="0"/>
      <c r="ALR356" s="0"/>
      <c r="ALS356" s="0"/>
      <c r="ALT356" s="0"/>
      <c r="ALU356" s="0"/>
      <c r="ALV356" s="0"/>
      <c r="ALW356" s="0"/>
      <c r="ALX356" s="0"/>
      <c r="ALY356" s="0"/>
      <c r="ALZ356" s="0"/>
      <c r="AMA356" s="0"/>
      <c r="AMB356" s="0"/>
      <c r="AMC356" s="0"/>
      <c r="AMD356" s="0"/>
      <c r="AME356" s="0"/>
      <c r="AMF356" s="0"/>
      <c r="AMG356" s="0"/>
      <c r="AMH356" s="0"/>
      <c r="AMI356" s="0"/>
      <c r="AMJ356" s="0"/>
    </row>
    <row r="357" s="14" customFormat="true" ht="12.8" hidden="false" customHeight="false" outlineLevel="0" collapsed="false">
      <c r="C357" s="26"/>
      <c r="E357" s="26"/>
      <c r="H357" s="2"/>
      <c r="I357" s="26"/>
      <c r="J357" s="26"/>
      <c r="K357" s="26"/>
      <c r="O357" s="26"/>
      <c r="P357" s="26"/>
      <c r="Q357" s="26"/>
      <c r="R357" s="26"/>
      <c r="S357" s="26"/>
      <c r="T357" s="26"/>
      <c r="U357" s="26"/>
      <c r="W357" s="27"/>
      <c r="AE357" s="26"/>
      <c r="AF357" s="26"/>
      <c r="AG357" s="26"/>
      <c r="AH357" s="26"/>
      <c r="AI357" s="26"/>
      <c r="AJ357" s="26"/>
      <c r="AKX357" s="0"/>
      <c r="AKY357" s="0"/>
      <c r="AKZ357" s="0"/>
      <c r="ALA357" s="0"/>
      <c r="ALB357" s="0"/>
      <c r="ALC357" s="0"/>
      <c r="ALD357" s="0"/>
      <c r="ALE357" s="0"/>
      <c r="ALF357" s="0"/>
      <c r="ALG357" s="0"/>
      <c r="ALH357" s="0"/>
      <c r="ALI357" s="0"/>
      <c r="ALJ357" s="0"/>
      <c r="ALK357" s="0"/>
      <c r="ALL357" s="0"/>
      <c r="ALM357" s="0"/>
      <c r="ALN357" s="0"/>
      <c r="ALO357" s="0"/>
      <c r="ALP357" s="0"/>
      <c r="ALQ357" s="0"/>
      <c r="ALR357" s="0"/>
      <c r="ALS357" s="0"/>
      <c r="ALT357" s="0"/>
      <c r="ALU357" s="0"/>
      <c r="ALV357" s="0"/>
      <c r="ALW357" s="0"/>
      <c r="ALX357" s="0"/>
      <c r="ALY357" s="0"/>
      <c r="ALZ357" s="0"/>
      <c r="AMA357" s="0"/>
      <c r="AMB357" s="0"/>
      <c r="AMC357" s="0"/>
      <c r="AMD357" s="0"/>
      <c r="AME357" s="0"/>
      <c r="AMF357" s="0"/>
      <c r="AMG357" s="0"/>
      <c r="AMH357" s="0"/>
      <c r="AMI357" s="0"/>
      <c r="AMJ357" s="0"/>
    </row>
    <row r="358" s="14" customFormat="true" ht="12.8" hidden="false" customHeight="false" outlineLevel="0" collapsed="false">
      <c r="C358" s="26"/>
      <c r="E358" s="26"/>
      <c r="H358" s="2"/>
      <c r="I358" s="26"/>
      <c r="J358" s="26"/>
      <c r="K358" s="26"/>
      <c r="O358" s="26"/>
      <c r="P358" s="26"/>
      <c r="Q358" s="26"/>
      <c r="R358" s="26"/>
      <c r="S358" s="26"/>
      <c r="T358" s="26"/>
      <c r="U358" s="26"/>
      <c r="W358" s="27"/>
      <c r="AE358" s="26"/>
      <c r="AF358" s="26"/>
      <c r="AG358" s="26"/>
      <c r="AH358" s="26"/>
      <c r="AI358" s="26"/>
      <c r="AJ358" s="26"/>
      <c r="AKX358" s="0"/>
      <c r="AKY358" s="0"/>
      <c r="AKZ358" s="0"/>
      <c r="ALA358" s="0"/>
      <c r="ALB358" s="0"/>
      <c r="ALC358" s="0"/>
      <c r="ALD358" s="0"/>
      <c r="ALE358" s="0"/>
      <c r="ALF358" s="0"/>
      <c r="ALG358" s="0"/>
      <c r="ALH358" s="0"/>
      <c r="ALI358" s="0"/>
      <c r="ALJ358" s="0"/>
      <c r="ALK358" s="0"/>
      <c r="ALL358" s="0"/>
      <c r="ALM358" s="0"/>
      <c r="ALN358" s="0"/>
      <c r="ALO358" s="0"/>
      <c r="ALP358" s="0"/>
      <c r="ALQ358" s="0"/>
      <c r="ALR358" s="0"/>
      <c r="ALS358" s="0"/>
      <c r="ALT358" s="0"/>
      <c r="ALU358" s="0"/>
      <c r="ALV358" s="0"/>
      <c r="ALW358" s="0"/>
      <c r="ALX358" s="0"/>
      <c r="ALY358" s="0"/>
      <c r="ALZ358" s="0"/>
      <c r="AMA358" s="0"/>
      <c r="AMB358" s="0"/>
      <c r="AMC358" s="0"/>
      <c r="AMD358" s="0"/>
      <c r="AME358" s="0"/>
      <c r="AMF358" s="0"/>
      <c r="AMG358" s="0"/>
      <c r="AMH358" s="0"/>
      <c r="AMI358" s="0"/>
      <c r="AMJ358" s="0"/>
    </row>
    <row r="359" s="14" customFormat="true" ht="12.8" hidden="false" customHeight="false" outlineLevel="0" collapsed="false">
      <c r="C359" s="26"/>
      <c r="E359" s="26"/>
      <c r="H359" s="2"/>
      <c r="I359" s="26"/>
      <c r="J359" s="26"/>
      <c r="K359" s="26"/>
      <c r="O359" s="26"/>
      <c r="P359" s="26"/>
      <c r="Q359" s="26"/>
      <c r="R359" s="26"/>
      <c r="S359" s="26"/>
      <c r="T359" s="26"/>
      <c r="U359" s="26"/>
      <c r="W359" s="27"/>
      <c r="AE359" s="26"/>
      <c r="AF359" s="26"/>
      <c r="AG359" s="26"/>
      <c r="AH359" s="26"/>
      <c r="AI359" s="26"/>
      <c r="AJ359" s="26"/>
      <c r="AKX359" s="0"/>
      <c r="AKY359" s="0"/>
      <c r="AKZ359" s="0"/>
      <c r="ALA359" s="0"/>
      <c r="ALB359" s="0"/>
      <c r="ALC359" s="0"/>
      <c r="ALD359" s="0"/>
      <c r="ALE359" s="0"/>
      <c r="ALF359" s="0"/>
      <c r="ALG359" s="0"/>
      <c r="ALH359" s="0"/>
      <c r="ALI359" s="0"/>
      <c r="ALJ359" s="0"/>
      <c r="ALK359" s="0"/>
      <c r="ALL359" s="0"/>
      <c r="ALM359" s="0"/>
      <c r="ALN359" s="0"/>
      <c r="ALO359" s="0"/>
      <c r="ALP359" s="0"/>
      <c r="ALQ359" s="0"/>
      <c r="ALR359" s="0"/>
      <c r="ALS359" s="0"/>
      <c r="ALT359" s="0"/>
      <c r="ALU359" s="0"/>
      <c r="ALV359" s="0"/>
      <c r="ALW359" s="0"/>
      <c r="ALX359" s="0"/>
      <c r="ALY359" s="0"/>
      <c r="ALZ359" s="0"/>
      <c r="AMA359" s="0"/>
      <c r="AMB359" s="0"/>
      <c r="AMC359" s="0"/>
      <c r="AMD359" s="0"/>
      <c r="AME359" s="0"/>
      <c r="AMF359" s="0"/>
      <c r="AMG359" s="0"/>
      <c r="AMH359" s="0"/>
      <c r="AMI359" s="0"/>
      <c r="AMJ359" s="0"/>
    </row>
    <row r="360" s="14" customFormat="true" ht="12.8" hidden="false" customHeight="false" outlineLevel="0" collapsed="false">
      <c r="C360" s="26"/>
      <c r="E360" s="26"/>
      <c r="H360" s="2"/>
      <c r="I360" s="26"/>
      <c r="J360" s="26"/>
      <c r="K360" s="26"/>
      <c r="O360" s="26"/>
      <c r="P360" s="26"/>
      <c r="Q360" s="26"/>
      <c r="R360" s="26"/>
      <c r="S360" s="26"/>
      <c r="T360" s="26"/>
      <c r="U360" s="26"/>
      <c r="W360" s="27"/>
      <c r="AE360" s="26"/>
      <c r="AF360" s="26"/>
      <c r="AG360" s="26"/>
      <c r="AH360" s="26"/>
      <c r="AI360" s="26"/>
      <c r="AJ360" s="26"/>
      <c r="AKX360" s="0"/>
      <c r="AKY360" s="0"/>
      <c r="AKZ360" s="0"/>
      <c r="ALA360" s="0"/>
      <c r="ALB360" s="0"/>
      <c r="ALC360" s="0"/>
      <c r="ALD360" s="0"/>
      <c r="ALE360" s="0"/>
      <c r="ALF360" s="0"/>
      <c r="ALG360" s="0"/>
      <c r="ALH360" s="0"/>
      <c r="ALI360" s="0"/>
      <c r="ALJ360" s="0"/>
      <c r="ALK360" s="0"/>
      <c r="ALL360" s="0"/>
      <c r="ALM360" s="0"/>
      <c r="ALN360" s="0"/>
      <c r="ALO360" s="0"/>
      <c r="ALP360" s="0"/>
      <c r="ALQ360" s="0"/>
      <c r="ALR360" s="0"/>
      <c r="ALS360" s="0"/>
      <c r="ALT360" s="0"/>
      <c r="ALU360" s="0"/>
      <c r="ALV360" s="0"/>
      <c r="ALW360" s="0"/>
      <c r="ALX360" s="0"/>
      <c r="ALY360" s="0"/>
      <c r="ALZ360" s="0"/>
      <c r="AMA360" s="0"/>
      <c r="AMB360" s="0"/>
      <c r="AMC360" s="0"/>
      <c r="AMD360" s="0"/>
      <c r="AME360" s="0"/>
      <c r="AMF360" s="0"/>
      <c r="AMG360" s="0"/>
      <c r="AMH360" s="0"/>
      <c r="AMI360" s="0"/>
      <c r="AMJ360" s="0"/>
    </row>
    <row r="361" s="14" customFormat="true" ht="12.8" hidden="false" customHeight="false" outlineLevel="0" collapsed="false">
      <c r="C361" s="26"/>
      <c r="E361" s="26"/>
      <c r="H361" s="2"/>
      <c r="I361" s="26"/>
      <c r="J361" s="26"/>
      <c r="K361" s="26"/>
      <c r="O361" s="26"/>
      <c r="P361" s="26"/>
      <c r="Q361" s="26"/>
      <c r="R361" s="26"/>
      <c r="S361" s="26"/>
      <c r="T361" s="26"/>
      <c r="U361" s="26"/>
      <c r="W361" s="27"/>
      <c r="AE361" s="26"/>
      <c r="AF361" s="26"/>
      <c r="AG361" s="26"/>
      <c r="AH361" s="26"/>
      <c r="AI361" s="26"/>
      <c r="AJ361" s="26"/>
      <c r="AKX361" s="0"/>
      <c r="AKY361" s="0"/>
      <c r="AKZ361" s="0"/>
      <c r="ALA361" s="0"/>
      <c r="ALB361" s="0"/>
      <c r="ALC361" s="0"/>
      <c r="ALD361" s="0"/>
      <c r="ALE361" s="0"/>
      <c r="ALF361" s="0"/>
      <c r="ALG361" s="0"/>
      <c r="ALH361" s="0"/>
      <c r="ALI361" s="0"/>
      <c r="ALJ361" s="0"/>
      <c r="ALK361" s="0"/>
      <c r="ALL361" s="0"/>
      <c r="ALM361" s="0"/>
      <c r="ALN361" s="0"/>
      <c r="ALO361" s="0"/>
      <c r="ALP361" s="0"/>
      <c r="ALQ361" s="0"/>
      <c r="ALR361" s="0"/>
      <c r="ALS361" s="0"/>
      <c r="ALT361" s="0"/>
      <c r="ALU361" s="0"/>
      <c r="ALV361" s="0"/>
      <c r="ALW361" s="0"/>
      <c r="ALX361" s="0"/>
      <c r="ALY361" s="0"/>
      <c r="ALZ361" s="0"/>
      <c r="AMA361" s="0"/>
      <c r="AMB361" s="0"/>
      <c r="AMC361" s="0"/>
      <c r="AMD361" s="0"/>
      <c r="AME361" s="0"/>
      <c r="AMF361" s="0"/>
      <c r="AMG361" s="0"/>
      <c r="AMH361" s="0"/>
      <c r="AMI361" s="0"/>
      <c r="AMJ361" s="0"/>
    </row>
    <row r="362" s="14" customFormat="true" ht="12.8" hidden="false" customHeight="false" outlineLevel="0" collapsed="false">
      <c r="C362" s="26"/>
      <c r="E362" s="26"/>
      <c r="H362" s="2"/>
      <c r="I362" s="26"/>
      <c r="J362" s="26"/>
      <c r="K362" s="26"/>
      <c r="O362" s="26"/>
      <c r="P362" s="26"/>
      <c r="Q362" s="26"/>
      <c r="R362" s="26"/>
      <c r="S362" s="26"/>
      <c r="T362" s="26"/>
      <c r="U362" s="26"/>
      <c r="W362" s="27"/>
      <c r="AE362" s="26"/>
      <c r="AF362" s="26"/>
      <c r="AG362" s="26"/>
      <c r="AH362" s="26"/>
      <c r="AI362" s="26"/>
      <c r="AJ362" s="26"/>
      <c r="AKX362" s="0"/>
      <c r="AKY362" s="0"/>
      <c r="AKZ362" s="0"/>
      <c r="ALA362" s="0"/>
      <c r="ALB362" s="0"/>
      <c r="ALC362" s="0"/>
      <c r="ALD362" s="0"/>
      <c r="ALE362" s="0"/>
      <c r="ALF362" s="0"/>
      <c r="ALG362" s="0"/>
      <c r="ALH362" s="0"/>
      <c r="ALI362" s="0"/>
      <c r="ALJ362" s="0"/>
      <c r="ALK362" s="0"/>
      <c r="ALL362" s="0"/>
      <c r="ALM362" s="0"/>
      <c r="ALN362" s="0"/>
      <c r="ALO362" s="0"/>
      <c r="ALP362" s="0"/>
      <c r="ALQ362" s="0"/>
      <c r="ALR362" s="0"/>
      <c r="ALS362" s="0"/>
      <c r="ALT362" s="0"/>
      <c r="ALU362" s="0"/>
      <c r="ALV362" s="0"/>
      <c r="ALW362" s="0"/>
      <c r="ALX362" s="0"/>
      <c r="ALY362" s="0"/>
      <c r="ALZ362" s="0"/>
      <c r="AMA362" s="0"/>
      <c r="AMB362" s="0"/>
      <c r="AMC362" s="0"/>
      <c r="AMD362" s="0"/>
      <c r="AME362" s="0"/>
      <c r="AMF362" s="0"/>
      <c r="AMG362" s="0"/>
      <c r="AMH362" s="0"/>
      <c r="AMI362" s="0"/>
      <c r="AMJ362" s="0"/>
    </row>
    <row r="363" s="14" customFormat="true" ht="12.8" hidden="false" customHeight="false" outlineLevel="0" collapsed="false">
      <c r="C363" s="26"/>
      <c r="E363" s="26"/>
      <c r="H363" s="2"/>
      <c r="I363" s="26"/>
      <c r="J363" s="26"/>
      <c r="K363" s="26"/>
      <c r="O363" s="26"/>
      <c r="P363" s="26"/>
      <c r="Q363" s="26"/>
      <c r="R363" s="26"/>
      <c r="S363" s="26"/>
      <c r="T363" s="26"/>
      <c r="U363" s="26"/>
      <c r="W363" s="27"/>
      <c r="AE363" s="26"/>
      <c r="AF363" s="26"/>
      <c r="AG363" s="26"/>
      <c r="AH363" s="26"/>
      <c r="AI363" s="26"/>
      <c r="AJ363" s="26"/>
      <c r="AKX363" s="0"/>
      <c r="AKY363" s="0"/>
      <c r="AKZ363" s="0"/>
      <c r="ALA363" s="0"/>
      <c r="ALB363" s="0"/>
      <c r="ALC363" s="0"/>
      <c r="ALD363" s="0"/>
      <c r="ALE363" s="0"/>
      <c r="ALF363" s="0"/>
      <c r="ALG363" s="0"/>
      <c r="ALH363" s="0"/>
      <c r="ALI363" s="0"/>
      <c r="ALJ363" s="0"/>
      <c r="ALK363" s="0"/>
      <c r="ALL363" s="0"/>
      <c r="ALM363" s="0"/>
      <c r="ALN363" s="0"/>
      <c r="ALO363" s="0"/>
      <c r="ALP363" s="0"/>
      <c r="ALQ363" s="0"/>
      <c r="ALR363" s="0"/>
      <c r="ALS363" s="0"/>
      <c r="ALT363" s="0"/>
      <c r="ALU363" s="0"/>
      <c r="ALV363" s="0"/>
      <c r="ALW363" s="0"/>
      <c r="ALX363" s="0"/>
      <c r="ALY363" s="0"/>
      <c r="ALZ363" s="0"/>
      <c r="AMA363" s="0"/>
      <c r="AMB363" s="0"/>
      <c r="AMC363" s="0"/>
      <c r="AMD363" s="0"/>
      <c r="AME363" s="0"/>
      <c r="AMF363" s="0"/>
      <c r="AMG363" s="0"/>
      <c r="AMH363" s="0"/>
      <c r="AMI363" s="0"/>
      <c r="AMJ363" s="0"/>
    </row>
    <row r="364" s="14" customFormat="true" ht="12.8" hidden="false" customHeight="false" outlineLevel="0" collapsed="false">
      <c r="C364" s="26"/>
      <c r="E364" s="26"/>
      <c r="H364" s="2"/>
      <c r="I364" s="26"/>
      <c r="J364" s="26"/>
      <c r="K364" s="26"/>
      <c r="O364" s="26"/>
      <c r="P364" s="26"/>
      <c r="Q364" s="26"/>
      <c r="R364" s="26"/>
      <c r="S364" s="26"/>
      <c r="T364" s="26"/>
      <c r="U364" s="26"/>
      <c r="W364" s="27"/>
      <c r="AE364" s="26"/>
      <c r="AF364" s="26"/>
      <c r="AG364" s="26"/>
      <c r="AH364" s="26"/>
      <c r="AI364" s="26"/>
      <c r="AJ364" s="26"/>
      <c r="AKX364" s="0"/>
      <c r="AKY364" s="0"/>
      <c r="AKZ364" s="0"/>
      <c r="ALA364" s="0"/>
      <c r="ALB364" s="0"/>
      <c r="ALC364" s="0"/>
      <c r="ALD364" s="0"/>
      <c r="ALE364" s="0"/>
      <c r="ALF364" s="0"/>
      <c r="ALG364" s="0"/>
      <c r="ALH364" s="0"/>
      <c r="ALI364" s="0"/>
      <c r="ALJ364" s="0"/>
      <c r="ALK364" s="0"/>
      <c r="ALL364" s="0"/>
      <c r="ALM364" s="0"/>
      <c r="ALN364" s="0"/>
      <c r="ALO364" s="0"/>
      <c r="ALP364" s="0"/>
      <c r="ALQ364" s="0"/>
      <c r="ALR364" s="0"/>
      <c r="ALS364" s="0"/>
      <c r="ALT364" s="0"/>
      <c r="ALU364" s="0"/>
      <c r="ALV364" s="0"/>
      <c r="ALW364" s="0"/>
      <c r="ALX364" s="0"/>
      <c r="ALY364" s="0"/>
      <c r="ALZ364" s="0"/>
      <c r="AMA364" s="0"/>
      <c r="AMB364" s="0"/>
      <c r="AMC364" s="0"/>
      <c r="AMD364" s="0"/>
      <c r="AME364" s="0"/>
      <c r="AMF364" s="0"/>
      <c r="AMG364" s="0"/>
      <c r="AMH364" s="0"/>
      <c r="AMI364" s="0"/>
      <c r="AMJ364" s="0"/>
    </row>
    <row r="365" s="14" customFormat="true" ht="12.8" hidden="false" customHeight="false" outlineLevel="0" collapsed="false">
      <c r="C365" s="26"/>
      <c r="E365" s="26"/>
      <c r="H365" s="2"/>
      <c r="I365" s="26"/>
      <c r="J365" s="26"/>
      <c r="K365" s="26"/>
      <c r="O365" s="26"/>
      <c r="P365" s="26"/>
      <c r="Q365" s="26"/>
      <c r="R365" s="26"/>
      <c r="S365" s="26"/>
      <c r="T365" s="26"/>
      <c r="U365" s="26"/>
      <c r="W365" s="27"/>
      <c r="AE365" s="26"/>
      <c r="AF365" s="26"/>
      <c r="AG365" s="26"/>
      <c r="AH365" s="26"/>
      <c r="AI365" s="26"/>
      <c r="AJ365" s="26"/>
      <c r="AKX365" s="0"/>
      <c r="AKY365" s="0"/>
      <c r="AKZ365" s="0"/>
      <c r="ALA365" s="0"/>
      <c r="ALB365" s="0"/>
      <c r="ALC365" s="0"/>
      <c r="ALD365" s="0"/>
      <c r="ALE365" s="0"/>
      <c r="ALF365" s="0"/>
      <c r="ALG365" s="0"/>
      <c r="ALH365" s="0"/>
      <c r="ALI365" s="0"/>
      <c r="ALJ365" s="0"/>
      <c r="ALK365" s="0"/>
      <c r="ALL365" s="0"/>
      <c r="ALM365" s="0"/>
      <c r="ALN365" s="0"/>
      <c r="ALO365" s="0"/>
      <c r="ALP365" s="0"/>
      <c r="ALQ365" s="0"/>
      <c r="ALR365" s="0"/>
      <c r="ALS365" s="0"/>
      <c r="ALT365" s="0"/>
      <c r="ALU365" s="0"/>
      <c r="ALV365" s="0"/>
      <c r="ALW365" s="0"/>
      <c r="ALX365" s="0"/>
      <c r="ALY365" s="0"/>
      <c r="ALZ365" s="0"/>
      <c r="AMA365" s="0"/>
      <c r="AMB365" s="0"/>
      <c r="AMC365" s="0"/>
      <c r="AMD365" s="0"/>
      <c r="AME365" s="0"/>
      <c r="AMF365" s="0"/>
      <c r="AMG365" s="0"/>
      <c r="AMH365" s="0"/>
      <c r="AMI365" s="0"/>
      <c r="AMJ365" s="0"/>
    </row>
    <row r="366" s="14" customFormat="true" ht="12.8" hidden="false" customHeight="false" outlineLevel="0" collapsed="false">
      <c r="C366" s="26"/>
      <c r="E366" s="26"/>
      <c r="H366" s="2"/>
      <c r="I366" s="26"/>
      <c r="J366" s="26"/>
      <c r="K366" s="26"/>
      <c r="O366" s="26"/>
      <c r="P366" s="26"/>
      <c r="Q366" s="26"/>
      <c r="R366" s="26"/>
      <c r="S366" s="26"/>
      <c r="T366" s="26"/>
      <c r="U366" s="26"/>
      <c r="W366" s="27"/>
      <c r="AE366" s="26"/>
      <c r="AF366" s="26"/>
      <c r="AG366" s="26"/>
      <c r="AH366" s="26"/>
      <c r="AI366" s="26"/>
      <c r="AJ366" s="26"/>
      <c r="AKX366" s="0"/>
      <c r="AKY366" s="0"/>
      <c r="AKZ366" s="0"/>
      <c r="ALA366" s="0"/>
      <c r="ALB366" s="0"/>
      <c r="ALC366" s="0"/>
      <c r="ALD366" s="0"/>
      <c r="ALE366" s="0"/>
      <c r="ALF366" s="0"/>
      <c r="ALG366" s="0"/>
      <c r="ALH366" s="0"/>
      <c r="ALI366" s="0"/>
      <c r="ALJ366" s="0"/>
      <c r="ALK366" s="0"/>
      <c r="ALL366" s="0"/>
      <c r="ALM366" s="0"/>
      <c r="ALN366" s="0"/>
      <c r="ALO366" s="0"/>
      <c r="ALP366" s="0"/>
      <c r="ALQ366" s="0"/>
      <c r="ALR366" s="0"/>
      <c r="ALS366" s="0"/>
      <c r="ALT366" s="0"/>
      <c r="ALU366" s="0"/>
      <c r="ALV366" s="0"/>
      <c r="ALW366" s="0"/>
      <c r="ALX366" s="0"/>
      <c r="ALY366" s="0"/>
      <c r="ALZ366" s="0"/>
      <c r="AMA366" s="0"/>
      <c r="AMB366" s="0"/>
      <c r="AMC366" s="0"/>
      <c r="AMD366" s="0"/>
      <c r="AME366" s="0"/>
      <c r="AMF366" s="0"/>
      <c r="AMG366" s="0"/>
      <c r="AMH366" s="0"/>
      <c r="AMI366" s="0"/>
      <c r="AMJ366" s="0"/>
    </row>
    <row r="367" s="14" customFormat="true" ht="12.8" hidden="false" customHeight="false" outlineLevel="0" collapsed="false">
      <c r="C367" s="26"/>
      <c r="E367" s="26"/>
      <c r="H367" s="2"/>
      <c r="I367" s="26"/>
      <c r="J367" s="26"/>
      <c r="K367" s="26"/>
      <c r="O367" s="26"/>
      <c r="P367" s="26"/>
      <c r="Q367" s="26"/>
      <c r="R367" s="26"/>
      <c r="S367" s="26"/>
      <c r="T367" s="26"/>
      <c r="U367" s="26"/>
      <c r="W367" s="27"/>
      <c r="AE367" s="26"/>
      <c r="AF367" s="26"/>
      <c r="AG367" s="26"/>
      <c r="AH367" s="26"/>
      <c r="AI367" s="26"/>
      <c r="AJ367" s="26"/>
      <c r="AKX367" s="0"/>
      <c r="AKY367" s="0"/>
      <c r="AKZ367" s="0"/>
      <c r="ALA367" s="0"/>
      <c r="ALB367" s="0"/>
      <c r="ALC367" s="0"/>
      <c r="ALD367" s="0"/>
      <c r="ALE367" s="0"/>
      <c r="ALF367" s="0"/>
      <c r="ALG367" s="0"/>
      <c r="ALH367" s="0"/>
      <c r="ALI367" s="0"/>
      <c r="ALJ367" s="0"/>
      <c r="ALK367" s="0"/>
      <c r="ALL367" s="0"/>
      <c r="ALM367" s="0"/>
      <c r="ALN367" s="0"/>
      <c r="ALO367" s="0"/>
      <c r="ALP367" s="0"/>
      <c r="ALQ367" s="0"/>
      <c r="ALR367" s="0"/>
      <c r="ALS367" s="0"/>
      <c r="ALT367" s="0"/>
      <c r="ALU367" s="0"/>
      <c r="ALV367" s="0"/>
      <c r="ALW367" s="0"/>
      <c r="ALX367" s="0"/>
      <c r="ALY367" s="0"/>
      <c r="ALZ367" s="0"/>
      <c r="AMA367" s="0"/>
      <c r="AMB367" s="0"/>
      <c r="AMC367" s="0"/>
      <c r="AMD367" s="0"/>
      <c r="AME367" s="0"/>
      <c r="AMF367" s="0"/>
      <c r="AMG367" s="0"/>
      <c r="AMH367" s="0"/>
      <c r="AMI367" s="0"/>
      <c r="AMJ367" s="0"/>
    </row>
    <row r="368" s="14" customFormat="true" ht="12.8" hidden="false" customHeight="false" outlineLevel="0" collapsed="false">
      <c r="C368" s="26"/>
      <c r="E368" s="26"/>
      <c r="H368" s="2"/>
      <c r="I368" s="26"/>
      <c r="J368" s="26"/>
      <c r="K368" s="26"/>
      <c r="O368" s="26"/>
      <c r="P368" s="26"/>
      <c r="Q368" s="26"/>
      <c r="R368" s="26"/>
      <c r="S368" s="26"/>
      <c r="T368" s="26"/>
      <c r="U368" s="26"/>
      <c r="W368" s="27"/>
      <c r="AE368" s="26"/>
      <c r="AF368" s="26"/>
      <c r="AG368" s="26"/>
      <c r="AH368" s="26"/>
      <c r="AI368" s="26"/>
      <c r="AJ368" s="26"/>
      <c r="AKX368" s="0"/>
      <c r="AKY368" s="0"/>
      <c r="AKZ368" s="0"/>
      <c r="ALA368" s="0"/>
      <c r="ALB368" s="0"/>
      <c r="ALC368" s="0"/>
      <c r="ALD368" s="0"/>
      <c r="ALE368" s="0"/>
      <c r="ALF368" s="0"/>
      <c r="ALG368" s="0"/>
      <c r="ALH368" s="0"/>
      <c r="ALI368" s="0"/>
      <c r="ALJ368" s="0"/>
      <c r="ALK368" s="0"/>
      <c r="ALL368" s="0"/>
      <c r="ALM368" s="0"/>
      <c r="ALN368" s="0"/>
      <c r="ALO368" s="0"/>
      <c r="ALP368" s="0"/>
      <c r="ALQ368" s="0"/>
      <c r="ALR368" s="0"/>
      <c r="ALS368" s="0"/>
      <c r="ALT368" s="0"/>
      <c r="ALU368" s="0"/>
      <c r="ALV368" s="0"/>
      <c r="ALW368" s="0"/>
      <c r="ALX368" s="0"/>
      <c r="ALY368" s="0"/>
      <c r="ALZ368" s="0"/>
      <c r="AMA368" s="0"/>
      <c r="AMB368" s="0"/>
      <c r="AMC368" s="0"/>
      <c r="AMD368" s="0"/>
      <c r="AME368" s="0"/>
      <c r="AMF368" s="0"/>
      <c r="AMG368" s="0"/>
      <c r="AMH368" s="0"/>
      <c r="AMI368" s="0"/>
      <c r="AMJ368" s="0"/>
    </row>
    <row r="369" s="14" customFormat="true" ht="12.8" hidden="false" customHeight="false" outlineLevel="0" collapsed="false">
      <c r="C369" s="26"/>
      <c r="E369" s="26"/>
      <c r="H369" s="2"/>
      <c r="I369" s="26"/>
      <c r="J369" s="26"/>
      <c r="K369" s="26"/>
      <c r="O369" s="26"/>
      <c r="P369" s="26"/>
      <c r="Q369" s="26"/>
      <c r="R369" s="26"/>
      <c r="S369" s="26"/>
      <c r="T369" s="26"/>
      <c r="U369" s="26"/>
      <c r="W369" s="27"/>
      <c r="AE369" s="26"/>
      <c r="AF369" s="26"/>
      <c r="AG369" s="26"/>
      <c r="AH369" s="26"/>
      <c r="AI369" s="26"/>
      <c r="AJ369" s="26"/>
      <c r="AKX369" s="0"/>
      <c r="AKY369" s="0"/>
      <c r="AKZ369" s="0"/>
      <c r="ALA369" s="0"/>
      <c r="ALB369" s="0"/>
      <c r="ALC369" s="0"/>
      <c r="ALD369" s="0"/>
      <c r="ALE369" s="0"/>
      <c r="ALF369" s="0"/>
      <c r="ALG369" s="0"/>
      <c r="ALH369" s="0"/>
      <c r="ALI369" s="0"/>
      <c r="ALJ369" s="0"/>
      <c r="ALK369" s="0"/>
      <c r="ALL369" s="0"/>
      <c r="ALM369" s="0"/>
      <c r="ALN369" s="0"/>
      <c r="ALO369" s="0"/>
      <c r="ALP369" s="0"/>
      <c r="ALQ369" s="0"/>
      <c r="ALR369" s="0"/>
      <c r="ALS369" s="0"/>
      <c r="ALT369" s="0"/>
      <c r="ALU369" s="0"/>
      <c r="ALV369" s="0"/>
      <c r="ALW369" s="0"/>
      <c r="ALX369" s="0"/>
      <c r="ALY369" s="0"/>
      <c r="ALZ369" s="0"/>
      <c r="AMA369" s="0"/>
      <c r="AMB369" s="0"/>
      <c r="AMC369" s="0"/>
      <c r="AMD369" s="0"/>
      <c r="AME369" s="0"/>
      <c r="AMF369" s="0"/>
      <c r="AMG369" s="0"/>
      <c r="AMH369" s="0"/>
      <c r="AMI369" s="0"/>
      <c r="AMJ369" s="0"/>
    </row>
    <row r="370" s="14" customFormat="true" ht="12.8" hidden="false" customHeight="false" outlineLevel="0" collapsed="false">
      <c r="C370" s="26"/>
      <c r="E370" s="26"/>
      <c r="H370" s="2"/>
      <c r="I370" s="26"/>
      <c r="J370" s="26"/>
      <c r="K370" s="26"/>
      <c r="O370" s="26"/>
      <c r="P370" s="26"/>
      <c r="Q370" s="26"/>
      <c r="R370" s="26"/>
      <c r="S370" s="26"/>
      <c r="T370" s="26"/>
      <c r="U370" s="26"/>
      <c r="W370" s="27"/>
      <c r="AE370" s="26"/>
      <c r="AF370" s="26"/>
      <c r="AG370" s="26"/>
      <c r="AH370" s="26"/>
      <c r="AI370" s="26"/>
      <c r="AJ370" s="26"/>
      <c r="AKX370" s="0"/>
      <c r="AKY370" s="0"/>
      <c r="AKZ370" s="0"/>
      <c r="ALA370" s="0"/>
      <c r="ALB370" s="0"/>
      <c r="ALC370" s="0"/>
      <c r="ALD370" s="0"/>
      <c r="ALE370" s="0"/>
      <c r="ALF370" s="0"/>
      <c r="ALG370" s="0"/>
      <c r="ALH370" s="0"/>
      <c r="ALI370" s="0"/>
      <c r="ALJ370" s="0"/>
      <c r="ALK370" s="0"/>
      <c r="ALL370" s="0"/>
      <c r="ALM370" s="0"/>
      <c r="ALN370" s="0"/>
      <c r="ALO370" s="0"/>
      <c r="ALP370" s="0"/>
      <c r="ALQ370" s="0"/>
      <c r="ALR370" s="0"/>
      <c r="ALS370" s="0"/>
      <c r="ALT370" s="0"/>
      <c r="ALU370" s="0"/>
      <c r="ALV370" s="0"/>
      <c r="ALW370" s="0"/>
      <c r="ALX370" s="0"/>
      <c r="ALY370" s="0"/>
      <c r="ALZ370" s="0"/>
      <c r="AMA370" s="0"/>
      <c r="AMB370" s="0"/>
      <c r="AMC370" s="0"/>
      <c r="AMD370" s="0"/>
      <c r="AME370" s="0"/>
      <c r="AMF370" s="0"/>
      <c r="AMG370" s="0"/>
      <c r="AMH370" s="0"/>
      <c r="AMI370" s="0"/>
      <c r="AMJ370" s="0"/>
    </row>
    <row r="371" s="14" customFormat="true" ht="12.8" hidden="false" customHeight="false" outlineLevel="0" collapsed="false">
      <c r="C371" s="26"/>
      <c r="E371" s="26"/>
      <c r="H371" s="2"/>
      <c r="I371" s="26"/>
      <c r="J371" s="26"/>
      <c r="K371" s="26"/>
      <c r="O371" s="26"/>
      <c r="P371" s="26"/>
      <c r="Q371" s="26"/>
      <c r="R371" s="26"/>
      <c r="S371" s="26"/>
      <c r="T371" s="26"/>
      <c r="U371" s="26"/>
      <c r="W371" s="27"/>
      <c r="AE371" s="26"/>
      <c r="AF371" s="26"/>
      <c r="AG371" s="26"/>
      <c r="AH371" s="26"/>
      <c r="AI371" s="26"/>
      <c r="AJ371" s="26"/>
      <c r="AKX371" s="0"/>
      <c r="AKY371" s="0"/>
      <c r="AKZ371" s="0"/>
      <c r="ALA371" s="0"/>
      <c r="ALB371" s="0"/>
      <c r="ALC371" s="0"/>
      <c r="ALD371" s="0"/>
      <c r="ALE371" s="0"/>
      <c r="ALF371" s="0"/>
      <c r="ALG371" s="0"/>
      <c r="ALH371" s="0"/>
      <c r="ALI371" s="0"/>
      <c r="ALJ371" s="0"/>
      <c r="ALK371" s="0"/>
      <c r="ALL371" s="0"/>
      <c r="ALM371" s="0"/>
      <c r="ALN371" s="0"/>
      <c r="ALO371" s="0"/>
      <c r="ALP371" s="0"/>
      <c r="ALQ371" s="0"/>
      <c r="ALR371" s="0"/>
      <c r="ALS371" s="0"/>
      <c r="ALT371" s="0"/>
      <c r="ALU371" s="0"/>
      <c r="ALV371" s="0"/>
      <c r="ALW371" s="0"/>
      <c r="ALX371" s="0"/>
      <c r="ALY371" s="0"/>
      <c r="ALZ371" s="0"/>
      <c r="AMA371" s="0"/>
      <c r="AMB371" s="0"/>
      <c r="AMC371" s="0"/>
      <c r="AMD371" s="0"/>
      <c r="AME371" s="0"/>
      <c r="AMF371" s="0"/>
      <c r="AMG371" s="0"/>
      <c r="AMH371" s="0"/>
      <c r="AMI371" s="0"/>
      <c r="AMJ371" s="0"/>
    </row>
    <row r="372" s="14" customFormat="true" ht="12.8" hidden="false" customHeight="false" outlineLevel="0" collapsed="false">
      <c r="C372" s="26"/>
      <c r="E372" s="26"/>
      <c r="H372" s="2"/>
      <c r="I372" s="26"/>
      <c r="J372" s="26"/>
      <c r="K372" s="26"/>
      <c r="O372" s="26"/>
      <c r="P372" s="26"/>
      <c r="Q372" s="26"/>
      <c r="R372" s="26"/>
      <c r="S372" s="26"/>
      <c r="T372" s="26"/>
      <c r="U372" s="26"/>
      <c r="W372" s="27"/>
      <c r="AE372" s="26"/>
      <c r="AF372" s="26"/>
      <c r="AG372" s="26"/>
      <c r="AH372" s="26"/>
      <c r="AI372" s="26"/>
      <c r="AJ372" s="26"/>
      <c r="AKX372" s="0"/>
      <c r="AKY372" s="0"/>
      <c r="AKZ372" s="0"/>
      <c r="ALA372" s="0"/>
      <c r="ALB372" s="0"/>
      <c r="ALC372" s="0"/>
      <c r="ALD372" s="0"/>
      <c r="ALE372" s="0"/>
      <c r="ALF372" s="0"/>
      <c r="ALG372" s="0"/>
      <c r="ALH372" s="0"/>
      <c r="ALI372" s="0"/>
      <c r="ALJ372" s="0"/>
      <c r="ALK372" s="0"/>
      <c r="ALL372" s="0"/>
      <c r="ALM372" s="0"/>
      <c r="ALN372" s="0"/>
      <c r="ALO372" s="0"/>
      <c r="ALP372" s="0"/>
      <c r="ALQ372" s="0"/>
      <c r="ALR372" s="0"/>
      <c r="ALS372" s="0"/>
      <c r="ALT372" s="0"/>
      <c r="ALU372" s="0"/>
      <c r="ALV372" s="0"/>
      <c r="ALW372" s="0"/>
      <c r="ALX372" s="0"/>
      <c r="ALY372" s="0"/>
      <c r="ALZ372" s="0"/>
      <c r="AMA372" s="0"/>
      <c r="AMB372" s="0"/>
      <c r="AMC372" s="0"/>
      <c r="AMD372" s="0"/>
      <c r="AME372" s="0"/>
      <c r="AMF372" s="0"/>
      <c r="AMG372" s="0"/>
      <c r="AMH372" s="0"/>
      <c r="AMI372" s="0"/>
      <c r="AMJ372" s="0"/>
    </row>
    <row r="373" s="14" customFormat="true" ht="12.8" hidden="false" customHeight="false" outlineLevel="0" collapsed="false">
      <c r="C373" s="26"/>
      <c r="E373" s="26"/>
      <c r="H373" s="2"/>
      <c r="I373" s="26"/>
      <c r="J373" s="26"/>
      <c r="K373" s="26"/>
      <c r="O373" s="26"/>
      <c r="P373" s="26"/>
      <c r="Q373" s="26"/>
      <c r="R373" s="26"/>
      <c r="S373" s="26"/>
      <c r="T373" s="26"/>
      <c r="U373" s="26"/>
      <c r="W373" s="27"/>
      <c r="AE373" s="26"/>
      <c r="AF373" s="26"/>
      <c r="AG373" s="26"/>
      <c r="AH373" s="26"/>
      <c r="AI373" s="26"/>
      <c r="AJ373" s="26"/>
      <c r="AKX373" s="0"/>
      <c r="AKY373" s="0"/>
      <c r="AKZ373" s="0"/>
      <c r="ALA373" s="0"/>
      <c r="ALB373" s="0"/>
      <c r="ALC373" s="0"/>
      <c r="ALD373" s="0"/>
      <c r="ALE373" s="0"/>
      <c r="ALF373" s="0"/>
      <c r="ALG373" s="0"/>
      <c r="ALH373" s="0"/>
      <c r="ALI373" s="0"/>
      <c r="ALJ373" s="0"/>
      <c r="ALK373" s="0"/>
      <c r="ALL373" s="0"/>
      <c r="ALM373" s="0"/>
      <c r="ALN373" s="0"/>
      <c r="ALO373" s="0"/>
      <c r="ALP373" s="0"/>
      <c r="ALQ373" s="0"/>
      <c r="ALR373" s="0"/>
      <c r="ALS373" s="0"/>
      <c r="ALT373" s="0"/>
      <c r="ALU373" s="0"/>
      <c r="ALV373" s="0"/>
      <c r="ALW373" s="0"/>
      <c r="ALX373" s="0"/>
      <c r="ALY373" s="0"/>
      <c r="ALZ373" s="0"/>
      <c r="AMA373" s="0"/>
      <c r="AMB373" s="0"/>
      <c r="AMC373" s="0"/>
      <c r="AMD373" s="0"/>
      <c r="AME373" s="0"/>
      <c r="AMF373" s="0"/>
      <c r="AMG373" s="0"/>
      <c r="AMH373" s="0"/>
      <c r="AMI373" s="0"/>
      <c r="AMJ373" s="0"/>
    </row>
    <row r="374" s="14" customFormat="true" ht="12.8" hidden="false" customHeight="false" outlineLevel="0" collapsed="false">
      <c r="C374" s="26"/>
      <c r="E374" s="26"/>
      <c r="H374" s="2"/>
      <c r="I374" s="26"/>
      <c r="J374" s="26"/>
      <c r="K374" s="26"/>
      <c r="O374" s="26"/>
      <c r="P374" s="26"/>
      <c r="Q374" s="26"/>
      <c r="R374" s="26"/>
      <c r="S374" s="26"/>
      <c r="T374" s="26"/>
      <c r="U374" s="26"/>
      <c r="W374" s="27"/>
      <c r="AE374" s="26"/>
      <c r="AF374" s="26"/>
      <c r="AG374" s="26"/>
      <c r="AH374" s="26"/>
      <c r="AI374" s="26"/>
      <c r="AJ374" s="26"/>
      <c r="AKX374" s="0"/>
      <c r="AKY374" s="0"/>
      <c r="AKZ374" s="0"/>
      <c r="ALA374" s="0"/>
      <c r="ALB374" s="0"/>
      <c r="ALC374" s="0"/>
      <c r="ALD374" s="0"/>
      <c r="ALE374" s="0"/>
      <c r="ALF374" s="0"/>
      <c r="ALG374" s="0"/>
      <c r="ALH374" s="0"/>
      <c r="ALI374" s="0"/>
      <c r="ALJ374" s="0"/>
      <c r="ALK374" s="0"/>
      <c r="ALL374" s="0"/>
      <c r="ALM374" s="0"/>
      <c r="ALN374" s="0"/>
      <c r="ALO374" s="0"/>
      <c r="ALP374" s="0"/>
      <c r="ALQ374" s="0"/>
      <c r="ALR374" s="0"/>
      <c r="ALS374" s="0"/>
      <c r="ALT374" s="0"/>
      <c r="ALU374" s="0"/>
      <c r="ALV374" s="0"/>
      <c r="ALW374" s="0"/>
      <c r="ALX374" s="0"/>
      <c r="ALY374" s="0"/>
      <c r="ALZ374" s="0"/>
      <c r="AMA374" s="0"/>
      <c r="AMB374" s="0"/>
      <c r="AMC374" s="0"/>
      <c r="AMD374" s="0"/>
      <c r="AME374" s="0"/>
      <c r="AMF374" s="0"/>
      <c r="AMG374" s="0"/>
      <c r="AMH374" s="0"/>
      <c r="AMI374" s="0"/>
      <c r="AMJ374" s="0"/>
    </row>
    <row r="375" s="14" customFormat="true" ht="12.8" hidden="false" customHeight="false" outlineLevel="0" collapsed="false">
      <c r="C375" s="26"/>
      <c r="E375" s="26"/>
      <c r="H375" s="2"/>
      <c r="I375" s="26"/>
      <c r="J375" s="26"/>
      <c r="K375" s="26"/>
      <c r="O375" s="26"/>
      <c r="P375" s="26"/>
      <c r="Q375" s="26"/>
      <c r="R375" s="26"/>
      <c r="S375" s="26"/>
      <c r="T375" s="26"/>
      <c r="U375" s="26"/>
      <c r="W375" s="27"/>
      <c r="AE375" s="26"/>
      <c r="AF375" s="26"/>
      <c r="AG375" s="26"/>
      <c r="AH375" s="26"/>
      <c r="AI375" s="26"/>
      <c r="AJ375" s="26"/>
      <c r="AKX375" s="0"/>
      <c r="AKY375" s="0"/>
      <c r="AKZ375" s="0"/>
      <c r="ALA375" s="0"/>
      <c r="ALB375" s="0"/>
      <c r="ALC375" s="0"/>
      <c r="ALD375" s="0"/>
      <c r="ALE375" s="0"/>
      <c r="ALF375" s="0"/>
      <c r="ALG375" s="0"/>
      <c r="ALH375" s="0"/>
      <c r="ALI375" s="0"/>
      <c r="ALJ375" s="0"/>
      <c r="ALK375" s="0"/>
      <c r="ALL375" s="0"/>
      <c r="ALM375" s="0"/>
      <c r="ALN375" s="0"/>
      <c r="ALO375" s="0"/>
      <c r="ALP375" s="0"/>
      <c r="ALQ375" s="0"/>
      <c r="ALR375" s="0"/>
      <c r="ALS375" s="0"/>
      <c r="ALT375" s="0"/>
      <c r="ALU375" s="0"/>
      <c r="ALV375" s="0"/>
      <c r="ALW375" s="0"/>
      <c r="ALX375" s="0"/>
      <c r="ALY375" s="0"/>
      <c r="ALZ375" s="0"/>
      <c r="AMA375" s="0"/>
      <c r="AMB375" s="0"/>
      <c r="AMC375" s="0"/>
      <c r="AMD375" s="0"/>
      <c r="AME375" s="0"/>
      <c r="AMF375" s="0"/>
      <c r="AMG375" s="0"/>
      <c r="AMH375" s="0"/>
      <c r="AMI375" s="0"/>
      <c r="AMJ375" s="0"/>
    </row>
    <row r="376" s="14" customFormat="true" ht="12.8" hidden="false" customHeight="false" outlineLevel="0" collapsed="false">
      <c r="C376" s="26"/>
      <c r="E376" s="26"/>
      <c r="H376" s="2"/>
      <c r="I376" s="26"/>
      <c r="J376" s="26"/>
      <c r="K376" s="26"/>
      <c r="O376" s="26"/>
      <c r="P376" s="26"/>
      <c r="Q376" s="26"/>
      <c r="R376" s="26"/>
      <c r="S376" s="26"/>
      <c r="T376" s="26"/>
      <c r="U376" s="26"/>
      <c r="W376" s="27"/>
      <c r="AE376" s="26"/>
      <c r="AF376" s="26"/>
      <c r="AG376" s="26"/>
      <c r="AH376" s="26"/>
      <c r="AI376" s="26"/>
      <c r="AJ376" s="26"/>
      <c r="AKX376" s="0"/>
      <c r="AKY376" s="0"/>
      <c r="AKZ376" s="0"/>
      <c r="ALA376" s="0"/>
      <c r="ALB376" s="0"/>
      <c r="ALC376" s="0"/>
      <c r="ALD376" s="0"/>
      <c r="ALE376" s="0"/>
      <c r="ALF376" s="0"/>
      <c r="ALG376" s="0"/>
      <c r="ALH376" s="0"/>
      <c r="ALI376" s="0"/>
      <c r="ALJ376" s="0"/>
      <c r="ALK376" s="0"/>
      <c r="ALL376" s="0"/>
      <c r="ALM376" s="0"/>
      <c r="ALN376" s="0"/>
      <c r="ALO376" s="0"/>
      <c r="ALP376" s="0"/>
      <c r="ALQ376" s="0"/>
      <c r="ALR376" s="0"/>
      <c r="ALS376" s="0"/>
      <c r="ALT376" s="0"/>
      <c r="ALU376" s="0"/>
      <c r="ALV376" s="0"/>
      <c r="ALW376" s="0"/>
      <c r="ALX376" s="0"/>
      <c r="ALY376" s="0"/>
      <c r="ALZ376" s="0"/>
      <c r="AMA376" s="0"/>
      <c r="AMB376" s="0"/>
      <c r="AMC376" s="0"/>
      <c r="AMD376" s="0"/>
      <c r="AME376" s="0"/>
      <c r="AMF376" s="0"/>
      <c r="AMG376" s="0"/>
      <c r="AMH376" s="0"/>
      <c r="AMI376" s="0"/>
      <c r="AMJ376" s="0"/>
    </row>
    <row r="377" s="14" customFormat="true" ht="12.8" hidden="false" customHeight="false" outlineLevel="0" collapsed="false">
      <c r="C377" s="26"/>
      <c r="E377" s="26"/>
      <c r="H377" s="2"/>
      <c r="I377" s="26"/>
      <c r="J377" s="26"/>
      <c r="K377" s="26"/>
      <c r="O377" s="26"/>
      <c r="P377" s="26"/>
      <c r="Q377" s="26"/>
      <c r="R377" s="26"/>
      <c r="S377" s="26"/>
      <c r="T377" s="26"/>
      <c r="U377" s="26"/>
      <c r="W377" s="27"/>
      <c r="AE377" s="26"/>
      <c r="AF377" s="26"/>
      <c r="AG377" s="26"/>
      <c r="AH377" s="26"/>
      <c r="AI377" s="26"/>
      <c r="AJ377" s="26"/>
      <c r="AKX377" s="0"/>
      <c r="AKY377" s="0"/>
      <c r="AKZ377" s="0"/>
      <c r="ALA377" s="0"/>
      <c r="ALB377" s="0"/>
      <c r="ALC377" s="0"/>
      <c r="ALD377" s="0"/>
      <c r="ALE377" s="0"/>
      <c r="ALF377" s="0"/>
      <c r="ALG377" s="0"/>
      <c r="ALH377" s="0"/>
      <c r="ALI377" s="0"/>
      <c r="ALJ377" s="0"/>
      <c r="ALK377" s="0"/>
      <c r="ALL377" s="0"/>
      <c r="ALM377" s="0"/>
      <c r="ALN377" s="0"/>
      <c r="ALO377" s="0"/>
      <c r="ALP377" s="0"/>
      <c r="ALQ377" s="0"/>
      <c r="ALR377" s="0"/>
      <c r="ALS377" s="0"/>
      <c r="ALT377" s="0"/>
      <c r="ALU377" s="0"/>
      <c r="ALV377" s="0"/>
      <c r="ALW377" s="0"/>
      <c r="ALX377" s="0"/>
      <c r="ALY377" s="0"/>
      <c r="ALZ377" s="0"/>
      <c r="AMA377" s="0"/>
      <c r="AMB377" s="0"/>
      <c r="AMC377" s="0"/>
      <c r="AMD377" s="0"/>
      <c r="AME377" s="0"/>
      <c r="AMF377" s="0"/>
      <c r="AMG377" s="0"/>
      <c r="AMH377" s="0"/>
      <c r="AMI377" s="0"/>
      <c r="AMJ377" s="0"/>
    </row>
    <row r="378" s="14" customFormat="true" ht="12.8" hidden="false" customHeight="false" outlineLevel="0" collapsed="false">
      <c r="C378" s="26"/>
      <c r="E378" s="26"/>
      <c r="H378" s="2"/>
      <c r="I378" s="26"/>
      <c r="J378" s="26"/>
      <c r="K378" s="26"/>
      <c r="O378" s="26"/>
      <c r="P378" s="26"/>
      <c r="Q378" s="26"/>
      <c r="R378" s="26"/>
      <c r="S378" s="26"/>
      <c r="T378" s="26"/>
      <c r="U378" s="26"/>
      <c r="W378" s="27"/>
      <c r="AE378" s="26"/>
      <c r="AF378" s="26"/>
      <c r="AG378" s="26"/>
      <c r="AH378" s="26"/>
      <c r="AI378" s="26"/>
      <c r="AJ378" s="26"/>
      <c r="AKX378" s="0"/>
      <c r="AKY378" s="0"/>
      <c r="AKZ378" s="0"/>
      <c r="ALA378" s="0"/>
      <c r="ALB378" s="0"/>
      <c r="ALC378" s="0"/>
      <c r="ALD378" s="0"/>
      <c r="ALE378" s="0"/>
      <c r="ALF378" s="0"/>
      <c r="ALG378" s="0"/>
      <c r="ALH378" s="0"/>
      <c r="ALI378" s="0"/>
      <c r="ALJ378" s="0"/>
      <c r="ALK378" s="0"/>
      <c r="ALL378" s="0"/>
      <c r="ALM378" s="0"/>
      <c r="ALN378" s="0"/>
      <c r="ALO378" s="0"/>
      <c r="ALP378" s="0"/>
      <c r="ALQ378" s="0"/>
      <c r="ALR378" s="0"/>
      <c r="ALS378" s="0"/>
      <c r="ALT378" s="0"/>
      <c r="ALU378" s="0"/>
      <c r="ALV378" s="0"/>
      <c r="ALW378" s="0"/>
      <c r="ALX378" s="0"/>
      <c r="ALY378" s="0"/>
      <c r="ALZ378" s="0"/>
      <c r="AMA378" s="0"/>
      <c r="AMB378" s="0"/>
      <c r="AMC378" s="0"/>
      <c r="AMD378" s="0"/>
      <c r="AME378" s="0"/>
      <c r="AMF378" s="0"/>
      <c r="AMG378" s="0"/>
      <c r="AMH378" s="0"/>
      <c r="AMI378" s="0"/>
      <c r="AMJ378" s="0"/>
    </row>
    <row r="379" s="14" customFormat="true" ht="12.8" hidden="false" customHeight="false" outlineLevel="0" collapsed="false">
      <c r="C379" s="26"/>
      <c r="E379" s="26"/>
      <c r="H379" s="2"/>
      <c r="I379" s="26"/>
      <c r="J379" s="26"/>
      <c r="K379" s="26"/>
      <c r="O379" s="26"/>
      <c r="P379" s="26"/>
      <c r="Q379" s="26"/>
      <c r="R379" s="26"/>
      <c r="S379" s="26"/>
      <c r="T379" s="26"/>
      <c r="U379" s="26"/>
      <c r="W379" s="27"/>
      <c r="AE379" s="26"/>
      <c r="AF379" s="26"/>
      <c r="AG379" s="26"/>
      <c r="AH379" s="26"/>
      <c r="AI379" s="26"/>
      <c r="AJ379" s="26"/>
      <c r="AKX379" s="0"/>
      <c r="AKY379" s="0"/>
      <c r="AKZ379" s="0"/>
      <c r="ALA379" s="0"/>
      <c r="ALB379" s="0"/>
      <c r="ALC379" s="0"/>
      <c r="ALD379" s="0"/>
      <c r="ALE379" s="0"/>
      <c r="ALF379" s="0"/>
      <c r="ALG379" s="0"/>
      <c r="ALH379" s="0"/>
      <c r="ALI379" s="0"/>
      <c r="ALJ379" s="0"/>
      <c r="ALK379" s="0"/>
      <c r="ALL379" s="0"/>
      <c r="ALM379" s="0"/>
      <c r="ALN379" s="0"/>
      <c r="ALO379" s="0"/>
      <c r="ALP379" s="0"/>
      <c r="ALQ379" s="0"/>
      <c r="ALR379" s="0"/>
      <c r="ALS379" s="0"/>
      <c r="ALT379" s="0"/>
      <c r="ALU379" s="0"/>
      <c r="ALV379" s="0"/>
      <c r="ALW379" s="0"/>
      <c r="ALX379" s="0"/>
      <c r="ALY379" s="0"/>
      <c r="ALZ379" s="0"/>
      <c r="AMA379" s="0"/>
      <c r="AMB379" s="0"/>
      <c r="AMC379" s="0"/>
      <c r="AMD379" s="0"/>
      <c r="AME379" s="0"/>
      <c r="AMF379" s="0"/>
      <c r="AMG379" s="0"/>
      <c r="AMH379" s="0"/>
      <c r="AMI379" s="0"/>
      <c r="AMJ379" s="0"/>
    </row>
    <row r="380" s="14" customFormat="true" ht="12.8" hidden="false" customHeight="false" outlineLevel="0" collapsed="false">
      <c r="C380" s="26"/>
      <c r="E380" s="26"/>
      <c r="H380" s="2"/>
      <c r="I380" s="26"/>
      <c r="J380" s="26"/>
      <c r="K380" s="26"/>
      <c r="O380" s="26"/>
      <c r="P380" s="26"/>
      <c r="Q380" s="26"/>
      <c r="R380" s="26"/>
      <c r="S380" s="26"/>
      <c r="T380" s="26"/>
      <c r="U380" s="26"/>
      <c r="W380" s="27"/>
      <c r="AE380" s="26"/>
      <c r="AF380" s="26"/>
      <c r="AG380" s="26"/>
      <c r="AH380" s="26"/>
      <c r="AI380" s="26"/>
      <c r="AJ380" s="26"/>
      <c r="AKX380" s="0"/>
      <c r="AKY380" s="0"/>
      <c r="AKZ380" s="0"/>
      <c r="ALA380" s="0"/>
      <c r="ALB380" s="0"/>
      <c r="ALC380" s="0"/>
      <c r="ALD380" s="0"/>
      <c r="ALE380" s="0"/>
      <c r="ALF380" s="0"/>
      <c r="ALG380" s="0"/>
      <c r="ALH380" s="0"/>
      <c r="ALI380" s="0"/>
      <c r="ALJ380" s="0"/>
      <c r="ALK380" s="0"/>
      <c r="ALL380" s="0"/>
      <c r="ALM380" s="0"/>
      <c r="ALN380" s="0"/>
      <c r="ALO380" s="0"/>
      <c r="ALP380" s="0"/>
      <c r="ALQ380" s="0"/>
      <c r="ALR380" s="0"/>
      <c r="ALS380" s="0"/>
      <c r="ALT380" s="0"/>
      <c r="ALU380" s="0"/>
      <c r="ALV380" s="0"/>
      <c r="ALW380" s="0"/>
      <c r="ALX380" s="0"/>
      <c r="ALY380" s="0"/>
      <c r="ALZ380" s="0"/>
      <c r="AMA380" s="0"/>
      <c r="AMB380" s="0"/>
      <c r="AMC380" s="0"/>
      <c r="AMD380" s="0"/>
      <c r="AME380" s="0"/>
      <c r="AMF380" s="0"/>
      <c r="AMG380" s="0"/>
      <c r="AMH380" s="0"/>
      <c r="AMI380" s="0"/>
      <c r="AMJ380" s="0"/>
    </row>
    <row r="381" s="14" customFormat="true" ht="12.8" hidden="false" customHeight="false" outlineLevel="0" collapsed="false">
      <c r="C381" s="26"/>
      <c r="E381" s="26"/>
      <c r="H381" s="2"/>
      <c r="I381" s="26"/>
      <c r="J381" s="26"/>
      <c r="K381" s="26"/>
      <c r="O381" s="26"/>
      <c r="P381" s="26"/>
      <c r="Q381" s="26"/>
      <c r="R381" s="26"/>
      <c r="S381" s="26"/>
      <c r="T381" s="26"/>
      <c r="U381" s="26"/>
      <c r="W381" s="27"/>
      <c r="AE381" s="26"/>
      <c r="AF381" s="26"/>
      <c r="AG381" s="26"/>
      <c r="AH381" s="26"/>
      <c r="AI381" s="26"/>
      <c r="AJ381" s="26"/>
      <c r="AKX381" s="0"/>
      <c r="AKY381" s="0"/>
      <c r="AKZ381" s="0"/>
      <c r="ALA381" s="0"/>
      <c r="ALB381" s="0"/>
      <c r="ALC381" s="0"/>
      <c r="ALD381" s="0"/>
      <c r="ALE381" s="0"/>
      <c r="ALF381" s="0"/>
      <c r="ALG381" s="0"/>
      <c r="ALH381" s="0"/>
      <c r="ALI381" s="0"/>
      <c r="ALJ381" s="0"/>
      <c r="ALK381" s="0"/>
      <c r="ALL381" s="0"/>
      <c r="ALM381" s="0"/>
      <c r="ALN381" s="0"/>
      <c r="ALO381" s="0"/>
      <c r="ALP381" s="0"/>
      <c r="ALQ381" s="0"/>
      <c r="ALR381" s="0"/>
      <c r="ALS381" s="0"/>
      <c r="ALT381" s="0"/>
      <c r="ALU381" s="0"/>
      <c r="ALV381" s="0"/>
      <c r="ALW381" s="0"/>
      <c r="ALX381" s="0"/>
      <c r="ALY381" s="0"/>
      <c r="ALZ381" s="0"/>
      <c r="AMA381" s="0"/>
      <c r="AMB381" s="0"/>
      <c r="AMC381" s="0"/>
      <c r="AMD381" s="0"/>
      <c r="AME381" s="0"/>
      <c r="AMF381" s="0"/>
      <c r="AMG381" s="0"/>
      <c r="AMH381" s="0"/>
      <c r="AMI381" s="0"/>
      <c r="AMJ381" s="0"/>
    </row>
    <row r="382" s="14" customFormat="true" ht="12.8" hidden="false" customHeight="false" outlineLevel="0" collapsed="false">
      <c r="C382" s="26"/>
      <c r="E382" s="26"/>
      <c r="H382" s="2"/>
      <c r="I382" s="26"/>
      <c r="J382" s="26"/>
      <c r="K382" s="26"/>
      <c r="O382" s="26"/>
      <c r="P382" s="26"/>
      <c r="Q382" s="26"/>
      <c r="R382" s="26"/>
      <c r="S382" s="26"/>
      <c r="T382" s="26"/>
      <c r="U382" s="26"/>
      <c r="W382" s="27"/>
      <c r="AE382" s="26"/>
      <c r="AF382" s="26"/>
      <c r="AG382" s="26"/>
      <c r="AH382" s="26"/>
      <c r="AI382" s="26"/>
      <c r="AJ382" s="26"/>
      <c r="AKX382" s="0"/>
      <c r="AKY382" s="0"/>
      <c r="AKZ382" s="0"/>
      <c r="ALA382" s="0"/>
      <c r="ALB382" s="0"/>
      <c r="ALC382" s="0"/>
      <c r="ALD382" s="0"/>
      <c r="ALE382" s="0"/>
      <c r="ALF382" s="0"/>
      <c r="ALG382" s="0"/>
      <c r="ALH382" s="0"/>
      <c r="ALI382" s="0"/>
      <c r="ALJ382" s="0"/>
      <c r="ALK382" s="0"/>
      <c r="ALL382" s="0"/>
      <c r="ALM382" s="0"/>
      <c r="ALN382" s="0"/>
      <c r="ALO382" s="0"/>
      <c r="ALP382" s="0"/>
      <c r="ALQ382" s="0"/>
      <c r="ALR382" s="0"/>
      <c r="ALS382" s="0"/>
      <c r="ALT382" s="0"/>
      <c r="ALU382" s="0"/>
      <c r="ALV382" s="0"/>
      <c r="ALW382" s="0"/>
      <c r="ALX382" s="0"/>
      <c r="ALY382" s="0"/>
      <c r="ALZ382" s="0"/>
      <c r="AMA382" s="0"/>
      <c r="AMB382" s="0"/>
      <c r="AMC382" s="0"/>
      <c r="AMD382" s="0"/>
      <c r="AME382" s="0"/>
      <c r="AMF382" s="0"/>
      <c r="AMG382" s="0"/>
      <c r="AMH382" s="0"/>
      <c r="AMI382" s="0"/>
      <c r="AMJ382" s="0"/>
    </row>
    <row r="383" s="14" customFormat="true" ht="12.8" hidden="false" customHeight="false" outlineLevel="0" collapsed="false">
      <c r="C383" s="26"/>
      <c r="E383" s="26"/>
      <c r="H383" s="2"/>
      <c r="I383" s="26"/>
      <c r="J383" s="26"/>
      <c r="K383" s="26"/>
      <c r="O383" s="26"/>
      <c r="P383" s="26"/>
      <c r="Q383" s="26"/>
      <c r="R383" s="26"/>
      <c r="S383" s="26"/>
      <c r="T383" s="26"/>
      <c r="U383" s="26"/>
      <c r="W383" s="27"/>
      <c r="AE383" s="26"/>
      <c r="AF383" s="26"/>
      <c r="AG383" s="26"/>
      <c r="AH383" s="26"/>
      <c r="AI383" s="26"/>
      <c r="AJ383" s="26"/>
      <c r="AKX383" s="0"/>
      <c r="AKY383" s="0"/>
      <c r="AKZ383" s="0"/>
      <c r="ALA383" s="0"/>
      <c r="ALB383" s="0"/>
      <c r="ALC383" s="0"/>
      <c r="ALD383" s="0"/>
      <c r="ALE383" s="0"/>
      <c r="ALF383" s="0"/>
      <c r="ALG383" s="0"/>
      <c r="ALH383" s="0"/>
      <c r="ALI383" s="0"/>
      <c r="ALJ383" s="0"/>
      <c r="ALK383" s="0"/>
      <c r="ALL383" s="0"/>
      <c r="ALM383" s="0"/>
      <c r="ALN383" s="0"/>
      <c r="ALO383" s="0"/>
      <c r="ALP383" s="0"/>
      <c r="ALQ383" s="0"/>
      <c r="ALR383" s="0"/>
      <c r="ALS383" s="0"/>
      <c r="ALT383" s="0"/>
      <c r="ALU383" s="0"/>
      <c r="ALV383" s="0"/>
      <c r="ALW383" s="0"/>
      <c r="ALX383" s="0"/>
      <c r="ALY383" s="0"/>
      <c r="ALZ383" s="0"/>
      <c r="AMA383" s="0"/>
      <c r="AMB383" s="0"/>
      <c r="AMC383" s="0"/>
      <c r="AMD383" s="0"/>
      <c r="AME383" s="0"/>
      <c r="AMF383" s="0"/>
      <c r="AMG383" s="0"/>
      <c r="AMH383" s="0"/>
      <c r="AMI383" s="0"/>
      <c r="AMJ383" s="0"/>
    </row>
    <row r="384" s="14" customFormat="true" ht="12.8" hidden="false" customHeight="false" outlineLevel="0" collapsed="false">
      <c r="C384" s="26"/>
      <c r="E384" s="26"/>
      <c r="H384" s="2"/>
      <c r="I384" s="26"/>
      <c r="J384" s="26"/>
      <c r="K384" s="26"/>
      <c r="O384" s="26"/>
      <c r="P384" s="26"/>
      <c r="Q384" s="26"/>
      <c r="R384" s="26"/>
      <c r="S384" s="26"/>
      <c r="T384" s="26"/>
      <c r="U384" s="26"/>
      <c r="W384" s="27"/>
      <c r="AE384" s="26"/>
      <c r="AF384" s="26"/>
      <c r="AG384" s="26"/>
      <c r="AH384" s="26"/>
      <c r="AI384" s="26"/>
      <c r="AJ384" s="26"/>
      <c r="AKX384" s="0"/>
      <c r="AKY384" s="0"/>
      <c r="AKZ384" s="0"/>
      <c r="ALA384" s="0"/>
      <c r="ALB384" s="0"/>
      <c r="ALC384" s="0"/>
      <c r="ALD384" s="0"/>
      <c r="ALE384" s="0"/>
      <c r="ALF384" s="0"/>
      <c r="ALG384" s="0"/>
      <c r="ALH384" s="0"/>
      <c r="ALI384" s="0"/>
      <c r="ALJ384" s="0"/>
      <c r="ALK384" s="0"/>
      <c r="ALL384" s="0"/>
      <c r="ALM384" s="0"/>
      <c r="ALN384" s="0"/>
      <c r="ALO384" s="0"/>
      <c r="ALP384" s="0"/>
      <c r="ALQ384" s="0"/>
      <c r="ALR384" s="0"/>
      <c r="ALS384" s="0"/>
      <c r="ALT384" s="0"/>
      <c r="ALU384" s="0"/>
      <c r="ALV384" s="0"/>
      <c r="ALW384" s="0"/>
      <c r="ALX384" s="0"/>
      <c r="ALY384" s="0"/>
      <c r="ALZ384" s="0"/>
      <c r="AMA384" s="0"/>
      <c r="AMB384" s="0"/>
      <c r="AMC384" s="0"/>
      <c r="AMD384" s="0"/>
      <c r="AME384" s="0"/>
      <c r="AMF384" s="0"/>
      <c r="AMG384" s="0"/>
      <c r="AMH384" s="0"/>
      <c r="AMI384" s="0"/>
      <c r="AMJ384" s="0"/>
    </row>
    <row r="385" s="14" customFormat="true" ht="12.8" hidden="false" customHeight="false" outlineLevel="0" collapsed="false">
      <c r="C385" s="26"/>
      <c r="E385" s="26"/>
      <c r="H385" s="2"/>
      <c r="I385" s="26"/>
      <c r="J385" s="26"/>
      <c r="K385" s="26"/>
      <c r="O385" s="26"/>
      <c r="P385" s="26"/>
      <c r="Q385" s="26"/>
      <c r="R385" s="26"/>
      <c r="S385" s="26"/>
      <c r="T385" s="26"/>
      <c r="U385" s="26"/>
      <c r="W385" s="27"/>
      <c r="AE385" s="26"/>
      <c r="AF385" s="26"/>
      <c r="AG385" s="26"/>
      <c r="AH385" s="26"/>
      <c r="AI385" s="26"/>
      <c r="AJ385" s="26"/>
      <c r="AKX385" s="0"/>
      <c r="AKY385" s="0"/>
      <c r="AKZ385" s="0"/>
      <c r="ALA385" s="0"/>
      <c r="ALB385" s="0"/>
      <c r="ALC385" s="0"/>
      <c r="ALD385" s="0"/>
      <c r="ALE385" s="0"/>
      <c r="ALF385" s="0"/>
      <c r="ALG385" s="0"/>
      <c r="ALH385" s="0"/>
      <c r="ALI385" s="0"/>
      <c r="ALJ385" s="0"/>
      <c r="ALK385" s="0"/>
      <c r="ALL385" s="0"/>
      <c r="ALM385" s="0"/>
      <c r="ALN385" s="0"/>
      <c r="ALO385" s="0"/>
      <c r="ALP385" s="0"/>
      <c r="ALQ385" s="0"/>
      <c r="ALR385" s="0"/>
      <c r="ALS385" s="0"/>
      <c r="ALT385" s="0"/>
      <c r="ALU385" s="0"/>
      <c r="ALV385" s="0"/>
      <c r="ALW385" s="0"/>
      <c r="ALX385" s="0"/>
      <c r="ALY385" s="0"/>
      <c r="ALZ385" s="0"/>
      <c r="AMA385" s="0"/>
      <c r="AMB385" s="0"/>
      <c r="AMC385" s="0"/>
      <c r="AMD385" s="0"/>
      <c r="AME385" s="0"/>
      <c r="AMF385" s="0"/>
      <c r="AMG385" s="0"/>
      <c r="AMH385" s="0"/>
      <c r="AMI385" s="0"/>
      <c r="AMJ385" s="0"/>
    </row>
    <row r="386" s="14" customFormat="true" ht="12.8" hidden="false" customHeight="false" outlineLevel="0" collapsed="false">
      <c r="C386" s="26"/>
      <c r="E386" s="26"/>
      <c r="H386" s="2"/>
      <c r="I386" s="26"/>
      <c r="J386" s="26"/>
      <c r="K386" s="26"/>
      <c r="O386" s="26"/>
      <c r="P386" s="26"/>
      <c r="Q386" s="26"/>
      <c r="R386" s="26"/>
      <c r="S386" s="26"/>
      <c r="T386" s="26"/>
      <c r="U386" s="26"/>
      <c r="W386" s="27"/>
      <c r="AE386" s="26"/>
      <c r="AF386" s="26"/>
      <c r="AG386" s="26"/>
      <c r="AH386" s="26"/>
      <c r="AI386" s="26"/>
      <c r="AJ386" s="26"/>
      <c r="AKX386" s="0"/>
      <c r="AKY386" s="0"/>
      <c r="AKZ386" s="0"/>
      <c r="ALA386" s="0"/>
      <c r="ALB386" s="0"/>
      <c r="ALC386" s="0"/>
      <c r="ALD386" s="0"/>
      <c r="ALE386" s="0"/>
      <c r="ALF386" s="0"/>
      <c r="ALG386" s="0"/>
      <c r="ALH386" s="0"/>
      <c r="ALI386" s="0"/>
      <c r="ALJ386" s="0"/>
      <c r="ALK386" s="0"/>
      <c r="ALL386" s="0"/>
      <c r="ALM386" s="0"/>
      <c r="ALN386" s="0"/>
      <c r="ALO386" s="0"/>
      <c r="ALP386" s="0"/>
      <c r="ALQ386" s="0"/>
      <c r="ALR386" s="0"/>
      <c r="ALS386" s="0"/>
      <c r="ALT386" s="0"/>
      <c r="ALU386" s="0"/>
      <c r="ALV386" s="0"/>
      <c r="ALW386" s="0"/>
      <c r="ALX386" s="0"/>
      <c r="ALY386" s="0"/>
      <c r="ALZ386" s="0"/>
      <c r="AMA386" s="0"/>
      <c r="AMB386" s="0"/>
      <c r="AMC386" s="0"/>
      <c r="AMD386" s="0"/>
      <c r="AME386" s="0"/>
      <c r="AMF386" s="0"/>
      <c r="AMG386" s="0"/>
      <c r="AMH386" s="0"/>
      <c r="AMI386" s="0"/>
      <c r="AMJ386" s="0"/>
    </row>
    <row r="387" s="14" customFormat="true" ht="12.8" hidden="false" customHeight="false" outlineLevel="0" collapsed="false">
      <c r="C387" s="26"/>
      <c r="E387" s="26"/>
      <c r="H387" s="2"/>
      <c r="I387" s="26"/>
      <c r="J387" s="26"/>
      <c r="K387" s="26"/>
      <c r="O387" s="26"/>
      <c r="P387" s="26"/>
      <c r="Q387" s="26"/>
      <c r="R387" s="26"/>
      <c r="S387" s="26"/>
      <c r="T387" s="26"/>
      <c r="U387" s="26"/>
      <c r="W387" s="27"/>
      <c r="AE387" s="26"/>
      <c r="AF387" s="26"/>
      <c r="AG387" s="26"/>
      <c r="AH387" s="26"/>
      <c r="AI387" s="26"/>
      <c r="AJ387" s="26"/>
      <c r="AKX387" s="0"/>
      <c r="AKY387" s="0"/>
      <c r="AKZ387" s="0"/>
      <c r="ALA387" s="0"/>
      <c r="ALB387" s="0"/>
      <c r="ALC387" s="0"/>
      <c r="ALD387" s="0"/>
      <c r="ALE387" s="0"/>
      <c r="ALF387" s="0"/>
      <c r="ALG387" s="0"/>
      <c r="ALH387" s="0"/>
      <c r="ALI387" s="0"/>
      <c r="ALJ387" s="0"/>
      <c r="ALK387" s="0"/>
      <c r="ALL387" s="0"/>
      <c r="ALM387" s="0"/>
      <c r="ALN387" s="0"/>
      <c r="ALO387" s="0"/>
      <c r="ALP387" s="0"/>
      <c r="ALQ387" s="0"/>
      <c r="ALR387" s="0"/>
      <c r="ALS387" s="0"/>
      <c r="ALT387" s="0"/>
      <c r="ALU387" s="0"/>
      <c r="ALV387" s="0"/>
      <c r="ALW387" s="0"/>
      <c r="ALX387" s="0"/>
      <c r="ALY387" s="0"/>
      <c r="ALZ387" s="0"/>
      <c r="AMA387" s="0"/>
      <c r="AMB387" s="0"/>
      <c r="AMC387" s="0"/>
      <c r="AMD387" s="0"/>
      <c r="AME387" s="0"/>
      <c r="AMF387" s="0"/>
      <c r="AMG387" s="0"/>
      <c r="AMH387" s="0"/>
      <c r="AMI387" s="0"/>
      <c r="AMJ387" s="0"/>
    </row>
    <row r="388" s="14" customFormat="true" ht="12.8" hidden="false" customHeight="false" outlineLevel="0" collapsed="false">
      <c r="C388" s="26"/>
      <c r="E388" s="26"/>
      <c r="H388" s="2"/>
      <c r="I388" s="26"/>
      <c r="J388" s="26"/>
      <c r="K388" s="26"/>
      <c r="O388" s="26"/>
      <c r="P388" s="26"/>
      <c r="Q388" s="26"/>
      <c r="R388" s="26"/>
      <c r="S388" s="26"/>
      <c r="T388" s="26"/>
      <c r="U388" s="26"/>
      <c r="W388" s="27"/>
      <c r="AE388" s="26"/>
      <c r="AF388" s="26"/>
      <c r="AG388" s="26"/>
      <c r="AH388" s="26"/>
      <c r="AI388" s="26"/>
      <c r="AJ388" s="26"/>
      <c r="AKX388" s="0"/>
      <c r="AKY388" s="0"/>
      <c r="AKZ388" s="0"/>
      <c r="ALA388" s="0"/>
      <c r="ALB388" s="0"/>
      <c r="ALC388" s="0"/>
      <c r="ALD388" s="0"/>
      <c r="ALE388" s="0"/>
      <c r="ALF388" s="0"/>
      <c r="ALG388" s="0"/>
      <c r="ALH388" s="0"/>
      <c r="ALI388" s="0"/>
      <c r="ALJ388" s="0"/>
      <c r="ALK388" s="0"/>
      <c r="ALL388" s="0"/>
      <c r="ALM388" s="0"/>
      <c r="ALN388" s="0"/>
      <c r="ALO388" s="0"/>
      <c r="ALP388" s="0"/>
      <c r="ALQ388" s="0"/>
      <c r="ALR388" s="0"/>
      <c r="ALS388" s="0"/>
      <c r="ALT388" s="0"/>
      <c r="ALU388" s="0"/>
      <c r="ALV388" s="0"/>
      <c r="ALW388" s="0"/>
      <c r="ALX388" s="0"/>
      <c r="ALY388" s="0"/>
      <c r="ALZ388" s="0"/>
      <c r="AMA388" s="0"/>
      <c r="AMB388" s="0"/>
      <c r="AMC388" s="0"/>
      <c r="AMD388" s="0"/>
      <c r="AME388" s="0"/>
      <c r="AMF388" s="0"/>
      <c r="AMG388" s="0"/>
      <c r="AMH388" s="0"/>
      <c r="AMI388" s="0"/>
      <c r="AMJ388" s="0"/>
    </row>
    <row r="389" s="14" customFormat="true" ht="12.8" hidden="false" customHeight="false" outlineLevel="0" collapsed="false">
      <c r="C389" s="26"/>
      <c r="E389" s="26"/>
      <c r="H389" s="2"/>
      <c r="I389" s="26"/>
      <c r="J389" s="26"/>
      <c r="K389" s="26"/>
      <c r="O389" s="26"/>
      <c r="P389" s="26"/>
      <c r="Q389" s="26"/>
      <c r="R389" s="26"/>
      <c r="S389" s="26"/>
      <c r="T389" s="26"/>
      <c r="U389" s="26"/>
      <c r="W389" s="27"/>
      <c r="AE389" s="26"/>
      <c r="AF389" s="26"/>
      <c r="AG389" s="26"/>
      <c r="AH389" s="26"/>
      <c r="AI389" s="26"/>
      <c r="AJ389" s="26"/>
      <c r="AKX389" s="0"/>
      <c r="AKY389" s="0"/>
      <c r="AKZ389" s="0"/>
      <c r="ALA389" s="0"/>
      <c r="ALB389" s="0"/>
      <c r="ALC389" s="0"/>
      <c r="ALD389" s="0"/>
      <c r="ALE389" s="0"/>
      <c r="ALF389" s="0"/>
      <c r="ALG389" s="0"/>
      <c r="ALH389" s="0"/>
      <c r="ALI389" s="0"/>
      <c r="ALJ389" s="0"/>
      <c r="ALK389" s="0"/>
      <c r="ALL389" s="0"/>
      <c r="ALM389" s="0"/>
      <c r="ALN389" s="0"/>
      <c r="ALO389" s="0"/>
      <c r="ALP389" s="0"/>
      <c r="ALQ389" s="0"/>
      <c r="ALR389" s="0"/>
      <c r="ALS389" s="0"/>
      <c r="ALT389" s="0"/>
      <c r="ALU389" s="0"/>
      <c r="ALV389" s="0"/>
      <c r="ALW389" s="0"/>
      <c r="ALX389" s="0"/>
      <c r="ALY389" s="0"/>
      <c r="ALZ389" s="0"/>
      <c r="AMA389" s="0"/>
      <c r="AMB389" s="0"/>
      <c r="AMC389" s="0"/>
      <c r="AMD389" s="0"/>
      <c r="AME389" s="0"/>
      <c r="AMF389" s="0"/>
      <c r="AMG389" s="0"/>
      <c r="AMH389" s="0"/>
      <c r="AMI389" s="0"/>
      <c r="AMJ389" s="0"/>
    </row>
    <row r="390" s="14" customFormat="true" ht="12.8" hidden="false" customHeight="false" outlineLevel="0" collapsed="false">
      <c r="C390" s="26"/>
      <c r="E390" s="26"/>
      <c r="H390" s="2"/>
      <c r="I390" s="26"/>
      <c r="J390" s="26"/>
      <c r="K390" s="26"/>
      <c r="O390" s="26"/>
      <c r="P390" s="26"/>
      <c r="Q390" s="26"/>
      <c r="R390" s="26"/>
      <c r="S390" s="26"/>
      <c r="T390" s="26"/>
      <c r="U390" s="26"/>
      <c r="W390" s="27"/>
      <c r="AE390" s="26"/>
      <c r="AF390" s="26"/>
      <c r="AG390" s="26"/>
      <c r="AH390" s="26"/>
      <c r="AI390" s="26"/>
      <c r="AJ390" s="26"/>
      <c r="AKX390" s="0"/>
      <c r="AKY390" s="0"/>
      <c r="AKZ390" s="0"/>
      <c r="ALA390" s="0"/>
      <c r="ALB390" s="0"/>
      <c r="ALC390" s="0"/>
      <c r="ALD390" s="0"/>
      <c r="ALE390" s="0"/>
      <c r="ALF390" s="0"/>
      <c r="ALG390" s="0"/>
      <c r="ALH390" s="0"/>
      <c r="ALI390" s="0"/>
      <c r="ALJ390" s="0"/>
      <c r="ALK390" s="0"/>
      <c r="ALL390" s="0"/>
      <c r="ALM390" s="0"/>
      <c r="ALN390" s="0"/>
      <c r="ALO390" s="0"/>
      <c r="ALP390" s="0"/>
      <c r="ALQ390" s="0"/>
      <c r="ALR390" s="0"/>
      <c r="ALS390" s="0"/>
      <c r="ALT390" s="0"/>
      <c r="ALU390" s="0"/>
      <c r="ALV390" s="0"/>
      <c r="ALW390" s="0"/>
      <c r="ALX390" s="0"/>
      <c r="ALY390" s="0"/>
      <c r="ALZ390" s="0"/>
      <c r="AMA390" s="0"/>
      <c r="AMB390" s="0"/>
      <c r="AMC390" s="0"/>
      <c r="AMD390" s="0"/>
      <c r="AME390" s="0"/>
      <c r="AMF390" s="0"/>
      <c r="AMG390" s="0"/>
      <c r="AMH390" s="0"/>
      <c r="AMI390" s="0"/>
      <c r="AMJ390" s="0"/>
    </row>
    <row r="391" s="14" customFormat="true" ht="12.8" hidden="false" customHeight="false" outlineLevel="0" collapsed="false">
      <c r="C391" s="26"/>
      <c r="E391" s="26"/>
      <c r="H391" s="2"/>
      <c r="I391" s="26"/>
      <c r="J391" s="26"/>
      <c r="K391" s="26"/>
      <c r="O391" s="26"/>
      <c r="P391" s="26"/>
      <c r="Q391" s="26"/>
      <c r="R391" s="26"/>
      <c r="S391" s="26"/>
      <c r="T391" s="26"/>
      <c r="U391" s="26"/>
      <c r="W391" s="27"/>
      <c r="AE391" s="26"/>
      <c r="AF391" s="26"/>
      <c r="AG391" s="26"/>
      <c r="AH391" s="26"/>
      <c r="AI391" s="26"/>
      <c r="AJ391" s="26"/>
      <c r="AKX391" s="0"/>
      <c r="AKY391" s="0"/>
      <c r="AKZ391" s="0"/>
      <c r="ALA391" s="0"/>
      <c r="ALB391" s="0"/>
      <c r="ALC391" s="0"/>
      <c r="ALD391" s="0"/>
      <c r="ALE391" s="0"/>
      <c r="ALF391" s="0"/>
      <c r="ALG391" s="0"/>
      <c r="ALH391" s="0"/>
      <c r="ALI391" s="0"/>
      <c r="ALJ391" s="0"/>
      <c r="ALK391" s="0"/>
      <c r="ALL391" s="0"/>
      <c r="ALM391" s="0"/>
      <c r="ALN391" s="0"/>
      <c r="ALO391" s="0"/>
      <c r="ALP391" s="0"/>
      <c r="ALQ391" s="0"/>
      <c r="ALR391" s="0"/>
      <c r="ALS391" s="0"/>
      <c r="ALT391" s="0"/>
      <c r="ALU391" s="0"/>
      <c r="ALV391" s="0"/>
      <c r="ALW391" s="0"/>
      <c r="ALX391" s="0"/>
      <c r="ALY391" s="0"/>
      <c r="ALZ391" s="0"/>
      <c r="AMA391" s="0"/>
      <c r="AMB391" s="0"/>
      <c r="AMC391" s="0"/>
      <c r="AMD391" s="0"/>
      <c r="AME391" s="0"/>
      <c r="AMF391" s="0"/>
      <c r="AMG391" s="0"/>
      <c r="AMH391" s="0"/>
      <c r="AMI391" s="0"/>
      <c r="AMJ391" s="0"/>
    </row>
    <row r="392" s="14" customFormat="true" ht="12.8" hidden="false" customHeight="false" outlineLevel="0" collapsed="false">
      <c r="C392" s="26"/>
      <c r="E392" s="26"/>
      <c r="H392" s="2"/>
      <c r="I392" s="26"/>
      <c r="J392" s="26"/>
      <c r="K392" s="26"/>
      <c r="O392" s="26"/>
      <c r="P392" s="26"/>
      <c r="Q392" s="26"/>
      <c r="R392" s="26"/>
      <c r="S392" s="26"/>
      <c r="T392" s="26"/>
      <c r="U392" s="26"/>
      <c r="W392" s="27"/>
      <c r="AE392" s="26"/>
      <c r="AF392" s="26"/>
      <c r="AG392" s="26"/>
      <c r="AH392" s="26"/>
      <c r="AI392" s="26"/>
      <c r="AJ392" s="26"/>
      <c r="AKX392" s="0"/>
      <c r="AKY392" s="0"/>
      <c r="AKZ392" s="0"/>
      <c r="ALA392" s="0"/>
      <c r="ALB392" s="0"/>
      <c r="ALC392" s="0"/>
      <c r="ALD392" s="0"/>
      <c r="ALE392" s="0"/>
      <c r="ALF392" s="0"/>
      <c r="ALG392" s="0"/>
      <c r="ALH392" s="0"/>
      <c r="ALI392" s="0"/>
      <c r="ALJ392" s="0"/>
      <c r="ALK392" s="0"/>
      <c r="ALL392" s="0"/>
      <c r="ALM392" s="0"/>
      <c r="ALN392" s="0"/>
      <c r="ALO392" s="0"/>
      <c r="ALP392" s="0"/>
      <c r="ALQ392" s="0"/>
      <c r="ALR392" s="0"/>
      <c r="ALS392" s="0"/>
      <c r="ALT392" s="0"/>
      <c r="ALU392" s="0"/>
      <c r="ALV392" s="0"/>
      <c r="ALW392" s="0"/>
      <c r="ALX392" s="0"/>
      <c r="ALY392" s="0"/>
      <c r="ALZ392" s="0"/>
      <c r="AMA392" s="0"/>
      <c r="AMB392" s="0"/>
      <c r="AMC392" s="0"/>
      <c r="AMD392" s="0"/>
      <c r="AME392" s="0"/>
      <c r="AMF392" s="0"/>
      <c r="AMG392" s="0"/>
      <c r="AMH392" s="0"/>
      <c r="AMI392" s="0"/>
      <c r="AMJ392" s="0"/>
    </row>
    <row r="393" s="14" customFormat="true" ht="12.8" hidden="false" customHeight="false" outlineLevel="0" collapsed="false">
      <c r="C393" s="26"/>
      <c r="E393" s="26"/>
      <c r="H393" s="2"/>
      <c r="I393" s="26"/>
      <c r="J393" s="26"/>
      <c r="K393" s="26"/>
      <c r="O393" s="26"/>
      <c r="P393" s="26"/>
      <c r="Q393" s="26"/>
      <c r="R393" s="26"/>
      <c r="S393" s="26"/>
      <c r="T393" s="26"/>
      <c r="U393" s="26"/>
      <c r="W393" s="27"/>
      <c r="AE393" s="26"/>
      <c r="AF393" s="26"/>
      <c r="AG393" s="26"/>
      <c r="AH393" s="26"/>
      <c r="AI393" s="26"/>
      <c r="AJ393" s="26"/>
      <c r="AKX393" s="0"/>
      <c r="AKY393" s="0"/>
      <c r="AKZ393" s="0"/>
      <c r="ALA393" s="0"/>
      <c r="ALB393" s="0"/>
      <c r="ALC393" s="0"/>
      <c r="ALD393" s="0"/>
      <c r="ALE393" s="0"/>
      <c r="ALF393" s="0"/>
      <c r="ALG393" s="0"/>
      <c r="ALH393" s="0"/>
      <c r="ALI393" s="0"/>
      <c r="ALJ393" s="0"/>
      <c r="ALK393" s="0"/>
      <c r="ALL393" s="0"/>
      <c r="ALM393" s="0"/>
      <c r="ALN393" s="0"/>
      <c r="ALO393" s="0"/>
      <c r="ALP393" s="0"/>
      <c r="ALQ393" s="0"/>
      <c r="ALR393" s="0"/>
      <c r="ALS393" s="0"/>
      <c r="ALT393" s="0"/>
      <c r="ALU393" s="0"/>
      <c r="ALV393" s="0"/>
      <c r="ALW393" s="0"/>
      <c r="ALX393" s="0"/>
      <c r="ALY393" s="0"/>
      <c r="ALZ393" s="0"/>
      <c r="AMA393" s="0"/>
      <c r="AMB393" s="0"/>
      <c r="AMC393" s="0"/>
      <c r="AMD393" s="0"/>
      <c r="AME393" s="0"/>
      <c r="AMF393" s="0"/>
      <c r="AMG393" s="0"/>
      <c r="AMH393" s="0"/>
      <c r="AMI393" s="0"/>
      <c r="AMJ393" s="0"/>
    </row>
    <row r="394" s="14" customFormat="true" ht="12.8" hidden="false" customHeight="false" outlineLevel="0" collapsed="false">
      <c r="C394" s="26"/>
      <c r="E394" s="26"/>
      <c r="H394" s="2"/>
      <c r="I394" s="26"/>
      <c r="J394" s="26"/>
      <c r="K394" s="26"/>
      <c r="O394" s="26"/>
      <c r="P394" s="26"/>
      <c r="Q394" s="26"/>
      <c r="R394" s="26"/>
      <c r="S394" s="26"/>
      <c r="T394" s="26"/>
      <c r="U394" s="26"/>
      <c r="W394" s="27"/>
      <c r="AE394" s="26"/>
      <c r="AF394" s="26"/>
      <c r="AG394" s="26"/>
      <c r="AH394" s="26"/>
      <c r="AI394" s="26"/>
      <c r="AJ394" s="26"/>
      <c r="AKX394" s="0"/>
      <c r="AKY394" s="0"/>
      <c r="AKZ394" s="0"/>
      <c r="ALA394" s="0"/>
      <c r="ALB394" s="0"/>
      <c r="ALC394" s="0"/>
      <c r="ALD394" s="0"/>
      <c r="ALE394" s="0"/>
      <c r="ALF394" s="0"/>
      <c r="ALG394" s="0"/>
      <c r="ALH394" s="0"/>
      <c r="ALI394" s="0"/>
      <c r="ALJ394" s="0"/>
      <c r="ALK394" s="0"/>
      <c r="ALL394" s="0"/>
      <c r="ALM394" s="0"/>
      <c r="ALN394" s="0"/>
      <c r="ALO394" s="0"/>
      <c r="ALP394" s="0"/>
      <c r="ALQ394" s="0"/>
      <c r="ALR394" s="0"/>
      <c r="ALS394" s="0"/>
      <c r="ALT394" s="0"/>
      <c r="ALU394" s="0"/>
      <c r="ALV394" s="0"/>
      <c r="ALW394" s="0"/>
      <c r="ALX394" s="0"/>
      <c r="ALY394" s="0"/>
      <c r="ALZ394" s="0"/>
      <c r="AMA394" s="0"/>
      <c r="AMB394" s="0"/>
      <c r="AMC394" s="0"/>
      <c r="AMD394" s="0"/>
      <c r="AME394" s="0"/>
      <c r="AMF394" s="0"/>
      <c r="AMG394" s="0"/>
      <c r="AMH394" s="0"/>
      <c r="AMI394" s="0"/>
      <c r="AMJ394" s="0"/>
    </row>
    <row r="395" s="14" customFormat="true" ht="12.8" hidden="false" customHeight="false" outlineLevel="0" collapsed="false">
      <c r="C395" s="26"/>
      <c r="E395" s="26"/>
      <c r="H395" s="2"/>
      <c r="I395" s="26"/>
      <c r="J395" s="26"/>
      <c r="K395" s="26"/>
      <c r="O395" s="26"/>
      <c r="P395" s="26"/>
      <c r="Q395" s="26"/>
      <c r="R395" s="26"/>
      <c r="S395" s="26"/>
      <c r="T395" s="26"/>
      <c r="U395" s="26"/>
      <c r="W395" s="27"/>
      <c r="AE395" s="26"/>
      <c r="AF395" s="26"/>
      <c r="AG395" s="26"/>
      <c r="AH395" s="26"/>
      <c r="AI395" s="26"/>
      <c r="AJ395" s="26"/>
      <c r="AKX395" s="0"/>
      <c r="AKY395" s="0"/>
      <c r="AKZ395" s="0"/>
      <c r="ALA395" s="0"/>
      <c r="ALB395" s="0"/>
      <c r="ALC395" s="0"/>
      <c r="ALD395" s="0"/>
      <c r="ALE395" s="0"/>
      <c r="ALF395" s="0"/>
      <c r="ALG395" s="0"/>
      <c r="ALH395" s="0"/>
      <c r="ALI395" s="0"/>
      <c r="ALJ395" s="0"/>
      <c r="ALK395" s="0"/>
      <c r="ALL395" s="0"/>
      <c r="ALM395" s="0"/>
      <c r="ALN395" s="0"/>
      <c r="ALO395" s="0"/>
      <c r="ALP395" s="0"/>
      <c r="ALQ395" s="0"/>
      <c r="ALR395" s="0"/>
      <c r="ALS395" s="0"/>
      <c r="ALT395" s="0"/>
      <c r="ALU395" s="0"/>
      <c r="ALV395" s="0"/>
      <c r="ALW395" s="0"/>
      <c r="ALX395" s="0"/>
      <c r="ALY395" s="0"/>
      <c r="ALZ395" s="0"/>
      <c r="AMA395" s="0"/>
      <c r="AMB395" s="0"/>
      <c r="AMC395" s="0"/>
      <c r="AMD395" s="0"/>
      <c r="AME395" s="0"/>
      <c r="AMF395" s="0"/>
      <c r="AMG395" s="0"/>
      <c r="AMH395" s="0"/>
      <c r="AMI395" s="0"/>
      <c r="AMJ395" s="0"/>
    </row>
    <row r="396" s="14" customFormat="true" ht="12.8" hidden="false" customHeight="false" outlineLevel="0" collapsed="false">
      <c r="C396" s="26"/>
      <c r="E396" s="26"/>
      <c r="H396" s="2"/>
      <c r="I396" s="26"/>
      <c r="J396" s="26"/>
      <c r="K396" s="26"/>
      <c r="O396" s="26"/>
      <c r="P396" s="26"/>
      <c r="Q396" s="26"/>
      <c r="R396" s="26"/>
      <c r="S396" s="26"/>
      <c r="T396" s="26"/>
      <c r="U396" s="26"/>
      <c r="W396" s="27"/>
      <c r="AE396" s="26"/>
      <c r="AF396" s="26"/>
      <c r="AG396" s="26"/>
      <c r="AH396" s="26"/>
      <c r="AI396" s="26"/>
      <c r="AJ396" s="26"/>
      <c r="AKX396" s="0"/>
      <c r="AKY396" s="0"/>
      <c r="AKZ396" s="0"/>
      <c r="ALA396" s="0"/>
      <c r="ALB396" s="0"/>
      <c r="ALC396" s="0"/>
      <c r="ALD396" s="0"/>
      <c r="ALE396" s="0"/>
      <c r="ALF396" s="0"/>
      <c r="ALG396" s="0"/>
      <c r="ALH396" s="0"/>
      <c r="ALI396" s="0"/>
      <c r="ALJ396" s="0"/>
      <c r="ALK396" s="0"/>
      <c r="ALL396" s="0"/>
      <c r="ALM396" s="0"/>
      <c r="ALN396" s="0"/>
      <c r="ALO396" s="0"/>
      <c r="ALP396" s="0"/>
      <c r="ALQ396" s="0"/>
      <c r="ALR396" s="0"/>
      <c r="ALS396" s="0"/>
      <c r="ALT396" s="0"/>
      <c r="ALU396" s="0"/>
      <c r="ALV396" s="0"/>
      <c r="ALW396" s="0"/>
      <c r="ALX396" s="0"/>
      <c r="ALY396" s="0"/>
      <c r="ALZ396" s="0"/>
      <c r="AMA396" s="0"/>
      <c r="AMB396" s="0"/>
      <c r="AMC396" s="0"/>
      <c r="AMD396" s="0"/>
      <c r="AME396" s="0"/>
      <c r="AMF396" s="0"/>
      <c r="AMG396" s="0"/>
      <c r="AMH396" s="0"/>
      <c r="AMI396" s="0"/>
      <c r="AMJ396" s="0"/>
    </row>
    <row r="397" s="14" customFormat="true" ht="12.8" hidden="false" customHeight="false" outlineLevel="0" collapsed="false">
      <c r="C397" s="26"/>
      <c r="E397" s="26"/>
      <c r="H397" s="2"/>
      <c r="I397" s="26"/>
      <c r="J397" s="26"/>
      <c r="K397" s="26"/>
      <c r="O397" s="26"/>
      <c r="P397" s="26"/>
      <c r="Q397" s="26"/>
      <c r="R397" s="26"/>
      <c r="S397" s="26"/>
      <c r="T397" s="26"/>
      <c r="U397" s="26"/>
      <c r="W397" s="27"/>
      <c r="AE397" s="26"/>
      <c r="AF397" s="26"/>
      <c r="AG397" s="26"/>
      <c r="AH397" s="26"/>
      <c r="AI397" s="26"/>
      <c r="AJ397" s="26"/>
      <c r="AKX397" s="0"/>
      <c r="AKY397" s="0"/>
      <c r="AKZ397" s="0"/>
      <c r="ALA397" s="0"/>
      <c r="ALB397" s="0"/>
      <c r="ALC397" s="0"/>
      <c r="ALD397" s="0"/>
      <c r="ALE397" s="0"/>
      <c r="ALF397" s="0"/>
      <c r="ALG397" s="0"/>
      <c r="ALH397" s="0"/>
      <c r="ALI397" s="0"/>
      <c r="ALJ397" s="0"/>
      <c r="ALK397" s="0"/>
      <c r="ALL397" s="0"/>
      <c r="ALM397" s="0"/>
      <c r="ALN397" s="0"/>
      <c r="ALO397" s="0"/>
      <c r="ALP397" s="0"/>
      <c r="ALQ397" s="0"/>
      <c r="ALR397" s="0"/>
      <c r="ALS397" s="0"/>
      <c r="ALT397" s="0"/>
      <c r="ALU397" s="0"/>
      <c r="ALV397" s="0"/>
      <c r="ALW397" s="0"/>
      <c r="ALX397" s="0"/>
      <c r="ALY397" s="0"/>
      <c r="ALZ397" s="0"/>
      <c r="AMA397" s="0"/>
      <c r="AMB397" s="0"/>
      <c r="AMC397" s="0"/>
      <c r="AMD397" s="0"/>
      <c r="AME397" s="0"/>
      <c r="AMF397" s="0"/>
      <c r="AMG397" s="0"/>
      <c r="AMH397" s="0"/>
      <c r="AMI397" s="0"/>
      <c r="AMJ397" s="0"/>
    </row>
    <row r="398" s="14" customFormat="true" ht="12.8" hidden="false" customHeight="false" outlineLevel="0" collapsed="false">
      <c r="C398" s="26"/>
      <c r="E398" s="26"/>
      <c r="H398" s="2"/>
      <c r="I398" s="26"/>
      <c r="J398" s="26"/>
      <c r="K398" s="26"/>
      <c r="O398" s="26"/>
      <c r="P398" s="26"/>
      <c r="Q398" s="26"/>
      <c r="R398" s="26"/>
      <c r="S398" s="26"/>
      <c r="T398" s="26"/>
      <c r="U398" s="26"/>
      <c r="W398" s="27"/>
      <c r="AE398" s="26"/>
      <c r="AF398" s="26"/>
      <c r="AG398" s="26"/>
      <c r="AH398" s="26"/>
      <c r="AI398" s="26"/>
      <c r="AJ398" s="26"/>
      <c r="AKX398" s="0"/>
      <c r="AKY398" s="0"/>
      <c r="AKZ398" s="0"/>
      <c r="ALA398" s="0"/>
      <c r="ALB398" s="0"/>
      <c r="ALC398" s="0"/>
      <c r="ALD398" s="0"/>
      <c r="ALE398" s="0"/>
      <c r="ALF398" s="0"/>
      <c r="ALG398" s="0"/>
      <c r="ALH398" s="0"/>
      <c r="ALI398" s="0"/>
      <c r="ALJ398" s="0"/>
      <c r="ALK398" s="0"/>
      <c r="ALL398" s="0"/>
      <c r="ALM398" s="0"/>
      <c r="ALN398" s="0"/>
      <c r="ALO398" s="0"/>
      <c r="ALP398" s="0"/>
      <c r="ALQ398" s="0"/>
      <c r="ALR398" s="0"/>
      <c r="ALS398" s="0"/>
      <c r="ALT398" s="0"/>
      <c r="ALU398" s="0"/>
      <c r="ALV398" s="0"/>
      <c r="ALW398" s="0"/>
      <c r="ALX398" s="0"/>
      <c r="ALY398" s="0"/>
      <c r="ALZ398" s="0"/>
      <c r="AMA398" s="0"/>
      <c r="AMB398" s="0"/>
      <c r="AMC398" s="0"/>
      <c r="AMD398" s="0"/>
      <c r="AME398" s="0"/>
      <c r="AMF398" s="0"/>
      <c r="AMG398" s="0"/>
      <c r="AMH398" s="0"/>
      <c r="AMI398" s="0"/>
      <c r="AMJ398" s="0"/>
    </row>
    <row r="399" s="14" customFormat="true" ht="12.8" hidden="false" customHeight="false" outlineLevel="0" collapsed="false">
      <c r="C399" s="26"/>
      <c r="E399" s="26"/>
      <c r="H399" s="2"/>
      <c r="I399" s="26"/>
      <c r="J399" s="26"/>
      <c r="K399" s="26"/>
      <c r="O399" s="26"/>
      <c r="P399" s="26"/>
      <c r="Q399" s="26"/>
      <c r="R399" s="26"/>
      <c r="S399" s="26"/>
      <c r="T399" s="26"/>
      <c r="U399" s="26"/>
      <c r="W399" s="27"/>
      <c r="AE399" s="26"/>
      <c r="AF399" s="26"/>
      <c r="AG399" s="26"/>
      <c r="AH399" s="26"/>
      <c r="AI399" s="26"/>
      <c r="AJ399" s="26"/>
      <c r="AKX399" s="0"/>
      <c r="AKY399" s="0"/>
      <c r="AKZ399" s="0"/>
      <c r="ALA399" s="0"/>
      <c r="ALB399" s="0"/>
      <c r="ALC399" s="0"/>
      <c r="ALD399" s="0"/>
      <c r="ALE399" s="0"/>
      <c r="ALF399" s="0"/>
      <c r="ALG399" s="0"/>
      <c r="ALH399" s="0"/>
      <c r="ALI399" s="0"/>
      <c r="ALJ399" s="0"/>
      <c r="ALK399" s="0"/>
      <c r="ALL399" s="0"/>
      <c r="ALM399" s="0"/>
      <c r="ALN399" s="0"/>
      <c r="ALO399" s="0"/>
      <c r="ALP399" s="0"/>
      <c r="ALQ399" s="0"/>
      <c r="ALR399" s="0"/>
      <c r="ALS399" s="0"/>
      <c r="ALT399" s="0"/>
      <c r="ALU399" s="0"/>
      <c r="ALV399" s="0"/>
      <c r="ALW399" s="0"/>
      <c r="ALX399" s="0"/>
      <c r="ALY399" s="0"/>
      <c r="ALZ399" s="0"/>
      <c r="AMA399" s="0"/>
      <c r="AMB399" s="0"/>
      <c r="AMC399" s="0"/>
      <c r="AMD399" s="0"/>
      <c r="AME399" s="0"/>
      <c r="AMF399" s="0"/>
      <c r="AMG399" s="0"/>
      <c r="AMH399" s="0"/>
      <c r="AMI399" s="0"/>
      <c r="AMJ399" s="0"/>
    </row>
    <row r="400" s="14" customFormat="true" ht="12.8" hidden="false" customHeight="false" outlineLevel="0" collapsed="false">
      <c r="C400" s="26"/>
      <c r="E400" s="26"/>
      <c r="H400" s="2"/>
      <c r="I400" s="26"/>
      <c r="J400" s="26"/>
      <c r="K400" s="26"/>
      <c r="O400" s="26"/>
      <c r="P400" s="26"/>
      <c r="Q400" s="26"/>
      <c r="R400" s="26"/>
      <c r="S400" s="26"/>
      <c r="T400" s="26"/>
      <c r="U400" s="26"/>
      <c r="W400" s="27"/>
      <c r="AE400" s="26"/>
      <c r="AF400" s="26"/>
      <c r="AG400" s="26"/>
      <c r="AH400" s="26"/>
      <c r="AI400" s="26"/>
      <c r="AJ400" s="26"/>
      <c r="AKX400" s="0"/>
      <c r="AKY400" s="0"/>
      <c r="AKZ400" s="0"/>
      <c r="ALA400" s="0"/>
      <c r="ALB400" s="0"/>
      <c r="ALC400" s="0"/>
      <c r="ALD400" s="0"/>
      <c r="ALE400" s="0"/>
      <c r="ALF400" s="0"/>
      <c r="ALG400" s="0"/>
      <c r="ALH400" s="0"/>
      <c r="ALI400" s="0"/>
      <c r="ALJ400" s="0"/>
      <c r="ALK400" s="0"/>
      <c r="ALL400" s="0"/>
      <c r="ALM400" s="0"/>
      <c r="ALN400" s="0"/>
      <c r="ALO400" s="0"/>
      <c r="ALP400" s="0"/>
      <c r="ALQ400" s="0"/>
      <c r="ALR400" s="0"/>
      <c r="ALS400" s="0"/>
      <c r="ALT400" s="0"/>
      <c r="ALU400" s="0"/>
      <c r="ALV400" s="0"/>
      <c r="ALW400" s="0"/>
      <c r="ALX400" s="0"/>
      <c r="ALY400" s="0"/>
      <c r="ALZ400" s="0"/>
      <c r="AMA400" s="0"/>
      <c r="AMB400" s="0"/>
      <c r="AMC400" s="0"/>
      <c r="AMD400" s="0"/>
      <c r="AME400" s="0"/>
      <c r="AMF400" s="0"/>
      <c r="AMG400" s="0"/>
      <c r="AMH400" s="0"/>
      <c r="AMI400" s="0"/>
      <c r="AMJ400" s="0"/>
    </row>
    <row r="401" s="14" customFormat="true" ht="12.8" hidden="false" customHeight="false" outlineLevel="0" collapsed="false">
      <c r="C401" s="26"/>
      <c r="E401" s="26"/>
      <c r="H401" s="2"/>
      <c r="I401" s="26"/>
      <c r="J401" s="26"/>
      <c r="K401" s="26"/>
      <c r="O401" s="26"/>
      <c r="P401" s="26"/>
      <c r="Q401" s="26"/>
      <c r="R401" s="26"/>
      <c r="S401" s="26"/>
      <c r="T401" s="26"/>
      <c r="U401" s="26"/>
      <c r="W401" s="27"/>
      <c r="AE401" s="26"/>
      <c r="AF401" s="26"/>
      <c r="AG401" s="26"/>
      <c r="AH401" s="26"/>
      <c r="AI401" s="26"/>
      <c r="AJ401" s="26"/>
      <c r="AKX401" s="0"/>
      <c r="AKY401" s="0"/>
      <c r="AKZ401" s="0"/>
      <c r="ALA401" s="0"/>
      <c r="ALB401" s="0"/>
      <c r="ALC401" s="0"/>
      <c r="ALD401" s="0"/>
      <c r="ALE401" s="0"/>
      <c r="ALF401" s="0"/>
      <c r="ALG401" s="0"/>
      <c r="ALH401" s="0"/>
      <c r="ALI401" s="0"/>
      <c r="ALJ401" s="0"/>
      <c r="ALK401" s="0"/>
      <c r="ALL401" s="0"/>
      <c r="ALM401" s="0"/>
      <c r="ALN401" s="0"/>
      <c r="ALO401" s="0"/>
      <c r="ALP401" s="0"/>
      <c r="ALQ401" s="0"/>
      <c r="ALR401" s="0"/>
      <c r="ALS401" s="0"/>
      <c r="ALT401" s="0"/>
      <c r="ALU401" s="0"/>
      <c r="ALV401" s="0"/>
      <c r="ALW401" s="0"/>
      <c r="ALX401" s="0"/>
      <c r="ALY401" s="0"/>
      <c r="ALZ401" s="0"/>
      <c r="AMA401" s="0"/>
      <c r="AMB401" s="0"/>
      <c r="AMC401" s="0"/>
      <c r="AMD401" s="0"/>
      <c r="AME401" s="0"/>
      <c r="AMF401" s="0"/>
      <c r="AMG401" s="0"/>
      <c r="AMH401" s="0"/>
      <c r="AMI401" s="0"/>
      <c r="AMJ401" s="0"/>
    </row>
    <row r="402" s="14" customFormat="true" ht="12.8" hidden="false" customHeight="false" outlineLevel="0" collapsed="false">
      <c r="C402" s="26"/>
      <c r="E402" s="26"/>
      <c r="H402" s="2"/>
      <c r="I402" s="26"/>
      <c r="J402" s="26"/>
      <c r="K402" s="26"/>
      <c r="O402" s="26"/>
      <c r="P402" s="26"/>
      <c r="Q402" s="26"/>
      <c r="R402" s="26"/>
      <c r="S402" s="26"/>
      <c r="T402" s="26"/>
      <c r="U402" s="26"/>
      <c r="W402" s="27"/>
      <c r="AE402" s="26"/>
      <c r="AF402" s="26"/>
      <c r="AG402" s="26"/>
      <c r="AH402" s="26"/>
      <c r="AI402" s="26"/>
      <c r="AJ402" s="26"/>
      <c r="AKX402" s="0"/>
      <c r="AKY402" s="0"/>
      <c r="AKZ402" s="0"/>
      <c r="ALA402" s="0"/>
      <c r="ALB402" s="0"/>
      <c r="ALC402" s="0"/>
      <c r="ALD402" s="0"/>
      <c r="ALE402" s="0"/>
      <c r="ALF402" s="0"/>
      <c r="ALG402" s="0"/>
      <c r="ALH402" s="0"/>
      <c r="ALI402" s="0"/>
      <c r="ALJ402" s="0"/>
      <c r="ALK402" s="0"/>
      <c r="ALL402" s="0"/>
      <c r="ALM402" s="0"/>
      <c r="ALN402" s="0"/>
      <c r="ALO402" s="0"/>
      <c r="ALP402" s="0"/>
      <c r="ALQ402" s="0"/>
      <c r="ALR402" s="0"/>
      <c r="ALS402" s="0"/>
      <c r="ALT402" s="0"/>
      <c r="ALU402" s="0"/>
      <c r="ALV402" s="0"/>
      <c r="ALW402" s="0"/>
      <c r="ALX402" s="0"/>
      <c r="ALY402" s="0"/>
      <c r="ALZ402" s="0"/>
      <c r="AMA402" s="0"/>
      <c r="AMB402" s="0"/>
      <c r="AMC402" s="0"/>
      <c r="AMD402" s="0"/>
      <c r="AME402" s="0"/>
      <c r="AMF402" s="0"/>
      <c r="AMG402" s="0"/>
      <c r="AMH402" s="0"/>
      <c r="AMI402" s="0"/>
      <c r="AMJ402" s="0"/>
    </row>
    <row r="403" s="14" customFormat="true" ht="12.8" hidden="false" customHeight="false" outlineLevel="0" collapsed="false">
      <c r="C403" s="26"/>
      <c r="E403" s="26"/>
      <c r="H403" s="2"/>
      <c r="I403" s="26"/>
      <c r="J403" s="26"/>
      <c r="K403" s="26"/>
      <c r="O403" s="26"/>
      <c r="P403" s="26"/>
      <c r="Q403" s="26"/>
      <c r="R403" s="26"/>
      <c r="S403" s="26"/>
      <c r="T403" s="26"/>
      <c r="U403" s="26"/>
      <c r="W403" s="27"/>
      <c r="AE403" s="26"/>
      <c r="AF403" s="26"/>
      <c r="AG403" s="26"/>
      <c r="AH403" s="26"/>
      <c r="AI403" s="26"/>
      <c r="AJ403" s="26"/>
      <c r="AKX403" s="0"/>
      <c r="AKY403" s="0"/>
      <c r="AKZ403" s="0"/>
      <c r="ALA403" s="0"/>
      <c r="ALB403" s="0"/>
      <c r="ALC403" s="0"/>
      <c r="ALD403" s="0"/>
      <c r="ALE403" s="0"/>
      <c r="ALF403" s="0"/>
      <c r="ALG403" s="0"/>
      <c r="ALH403" s="0"/>
      <c r="ALI403" s="0"/>
      <c r="ALJ403" s="0"/>
      <c r="ALK403" s="0"/>
      <c r="ALL403" s="0"/>
      <c r="ALM403" s="0"/>
      <c r="ALN403" s="0"/>
      <c r="ALO403" s="0"/>
      <c r="ALP403" s="0"/>
      <c r="ALQ403" s="0"/>
      <c r="ALR403" s="0"/>
      <c r="ALS403" s="0"/>
      <c r="ALT403" s="0"/>
      <c r="ALU403" s="0"/>
      <c r="ALV403" s="0"/>
      <c r="ALW403" s="0"/>
      <c r="ALX403" s="0"/>
      <c r="ALY403" s="0"/>
      <c r="ALZ403" s="0"/>
      <c r="AMA403" s="0"/>
      <c r="AMB403" s="0"/>
      <c r="AMC403" s="0"/>
      <c r="AMD403" s="0"/>
      <c r="AME403" s="0"/>
      <c r="AMF403" s="0"/>
      <c r="AMG403" s="0"/>
      <c r="AMH403" s="0"/>
      <c r="AMI403" s="0"/>
      <c r="AMJ403" s="0"/>
    </row>
    <row r="404" s="14" customFormat="true" ht="12.8" hidden="false" customHeight="false" outlineLevel="0" collapsed="false">
      <c r="C404" s="26"/>
      <c r="E404" s="26"/>
      <c r="H404" s="2"/>
      <c r="I404" s="26"/>
      <c r="J404" s="26"/>
      <c r="K404" s="26"/>
      <c r="O404" s="26"/>
      <c r="P404" s="26"/>
      <c r="Q404" s="26"/>
      <c r="R404" s="26"/>
      <c r="S404" s="26"/>
      <c r="T404" s="26"/>
      <c r="U404" s="26"/>
      <c r="W404" s="27"/>
      <c r="AE404" s="26"/>
      <c r="AF404" s="26"/>
      <c r="AG404" s="26"/>
      <c r="AH404" s="26"/>
      <c r="AI404" s="26"/>
      <c r="AJ404" s="26"/>
      <c r="AKX404" s="0"/>
      <c r="AKY404" s="0"/>
      <c r="AKZ404" s="0"/>
      <c r="ALA404" s="0"/>
      <c r="ALB404" s="0"/>
      <c r="ALC404" s="0"/>
      <c r="ALD404" s="0"/>
      <c r="ALE404" s="0"/>
      <c r="ALF404" s="0"/>
      <c r="ALG404" s="0"/>
      <c r="ALH404" s="0"/>
      <c r="ALI404" s="0"/>
      <c r="ALJ404" s="0"/>
      <c r="ALK404" s="0"/>
      <c r="ALL404" s="0"/>
      <c r="ALM404" s="0"/>
      <c r="ALN404" s="0"/>
      <c r="ALO404" s="0"/>
      <c r="ALP404" s="0"/>
      <c r="ALQ404" s="0"/>
      <c r="ALR404" s="0"/>
      <c r="ALS404" s="0"/>
      <c r="ALT404" s="0"/>
      <c r="ALU404" s="0"/>
      <c r="ALV404" s="0"/>
      <c r="ALW404" s="0"/>
      <c r="ALX404" s="0"/>
      <c r="ALY404" s="0"/>
      <c r="ALZ404" s="0"/>
      <c r="AMA404" s="0"/>
      <c r="AMB404" s="0"/>
      <c r="AMC404" s="0"/>
      <c r="AMD404" s="0"/>
      <c r="AME404" s="0"/>
      <c r="AMF404" s="0"/>
      <c r="AMG404" s="0"/>
      <c r="AMH404" s="0"/>
      <c r="AMI404" s="0"/>
      <c r="AMJ404" s="0"/>
    </row>
    <row r="405" s="14" customFormat="true" ht="12.8" hidden="false" customHeight="false" outlineLevel="0" collapsed="false">
      <c r="C405" s="26"/>
      <c r="E405" s="26"/>
      <c r="H405" s="2"/>
      <c r="I405" s="26"/>
      <c r="J405" s="26"/>
      <c r="K405" s="26"/>
      <c r="O405" s="26"/>
      <c r="P405" s="26"/>
      <c r="Q405" s="26"/>
      <c r="R405" s="26"/>
      <c r="S405" s="26"/>
      <c r="T405" s="26"/>
      <c r="U405" s="26"/>
      <c r="W405" s="27"/>
      <c r="AE405" s="26"/>
      <c r="AF405" s="26"/>
      <c r="AG405" s="26"/>
      <c r="AH405" s="26"/>
      <c r="AI405" s="26"/>
      <c r="AJ405" s="26"/>
      <c r="AKX405" s="0"/>
      <c r="AKY405" s="0"/>
      <c r="AKZ405" s="0"/>
      <c r="ALA405" s="0"/>
      <c r="ALB405" s="0"/>
      <c r="ALC405" s="0"/>
      <c r="ALD405" s="0"/>
      <c r="ALE405" s="0"/>
      <c r="ALF405" s="0"/>
      <c r="ALG405" s="0"/>
      <c r="ALH405" s="0"/>
      <c r="ALI405" s="0"/>
      <c r="ALJ405" s="0"/>
      <c r="ALK405" s="0"/>
      <c r="ALL405" s="0"/>
      <c r="ALM405" s="0"/>
      <c r="ALN405" s="0"/>
      <c r="ALO405" s="0"/>
      <c r="ALP405" s="0"/>
      <c r="ALQ405" s="0"/>
      <c r="ALR405" s="0"/>
      <c r="ALS405" s="0"/>
      <c r="ALT405" s="0"/>
      <c r="ALU405" s="0"/>
      <c r="ALV405" s="0"/>
      <c r="ALW405" s="0"/>
      <c r="ALX405" s="0"/>
      <c r="ALY405" s="0"/>
      <c r="ALZ405" s="0"/>
      <c r="AMA405" s="0"/>
      <c r="AMB405" s="0"/>
      <c r="AMC405" s="0"/>
      <c r="AMD405" s="0"/>
      <c r="AME405" s="0"/>
      <c r="AMF405" s="0"/>
      <c r="AMG405" s="0"/>
      <c r="AMH405" s="0"/>
      <c r="AMI405" s="0"/>
      <c r="AMJ405" s="0"/>
    </row>
    <row r="406" s="14" customFormat="true" ht="12.8" hidden="false" customHeight="false" outlineLevel="0" collapsed="false">
      <c r="C406" s="26"/>
      <c r="E406" s="26"/>
      <c r="H406" s="2"/>
      <c r="I406" s="26"/>
      <c r="J406" s="26"/>
      <c r="K406" s="26"/>
      <c r="O406" s="26"/>
      <c r="P406" s="26"/>
      <c r="Q406" s="26"/>
      <c r="R406" s="26"/>
      <c r="S406" s="26"/>
      <c r="T406" s="26"/>
      <c r="U406" s="26"/>
      <c r="W406" s="27"/>
      <c r="AE406" s="26"/>
      <c r="AF406" s="26"/>
      <c r="AG406" s="26"/>
      <c r="AH406" s="26"/>
      <c r="AI406" s="26"/>
      <c r="AJ406" s="26"/>
      <c r="AKX406" s="0"/>
      <c r="AKY406" s="0"/>
      <c r="AKZ406" s="0"/>
      <c r="ALA406" s="0"/>
      <c r="ALB406" s="0"/>
      <c r="ALC406" s="0"/>
      <c r="ALD406" s="0"/>
      <c r="ALE406" s="0"/>
      <c r="ALF406" s="0"/>
      <c r="ALG406" s="0"/>
      <c r="ALH406" s="0"/>
      <c r="ALI406" s="0"/>
      <c r="ALJ406" s="0"/>
      <c r="ALK406" s="0"/>
      <c r="ALL406" s="0"/>
      <c r="ALM406" s="0"/>
      <c r="ALN406" s="0"/>
      <c r="ALO406" s="0"/>
      <c r="ALP406" s="0"/>
      <c r="ALQ406" s="0"/>
      <c r="ALR406" s="0"/>
      <c r="ALS406" s="0"/>
      <c r="ALT406" s="0"/>
      <c r="ALU406" s="0"/>
      <c r="ALV406" s="0"/>
      <c r="ALW406" s="0"/>
      <c r="ALX406" s="0"/>
      <c r="ALY406" s="0"/>
      <c r="ALZ406" s="0"/>
      <c r="AMA406" s="0"/>
      <c r="AMB406" s="0"/>
      <c r="AMC406" s="0"/>
      <c r="AMD406" s="0"/>
      <c r="AME406" s="0"/>
      <c r="AMF406" s="0"/>
      <c r="AMG406" s="0"/>
      <c r="AMH406" s="0"/>
      <c r="AMI406" s="0"/>
      <c r="AMJ406" s="0"/>
    </row>
    <row r="407" s="14" customFormat="true" ht="12.8" hidden="false" customHeight="false" outlineLevel="0" collapsed="false">
      <c r="C407" s="26"/>
      <c r="E407" s="26"/>
      <c r="H407" s="2"/>
      <c r="I407" s="26"/>
      <c r="J407" s="26"/>
      <c r="K407" s="26"/>
      <c r="O407" s="26"/>
      <c r="P407" s="26"/>
      <c r="Q407" s="26"/>
      <c r="R407" s="26"/>
      <c r="S407" s="26"/>
      <c r="T407" s="26"/>
      <c r="U407" s="26"/>
      <c r="W407" s="27"/>
      <c r="AE407" s="26"/>
      <c r="AF407" s="26"/>
      <c r="AG407" s="26"/>
      <c r="AH407" s="26"/>
      <c r="AI407" s="26"/>
      <c r="AJ407" s="26"/>
      <c r="AKX407" s="0"/>
      <c r="AKY407" s="0"/>
      <c r="AKZ407" s="0"/>
      <c r="ALA407" s="0"/>
      <c r="ALB407" s="0"/>
      <c r="ALC407" s="0"/>
      <c r="ALD407" s="0"/>
      <c r="ALE407" s="0"/>
      <c r="ALF407" s="0"/>
      <c r="ALG407" s="0"/>
      <c r="ALH407" s="0"/>
      <c r="ALI407" s="0"/>
      <c r="ALJ407" s="0"/>
      <c r="ALK407" s="0"/>
      <c r="ALL407" s="0"/>
      <c r="ALM407" s="0"/>
      <c r="ALN407" s="0"/>
      <c r="ALO407" s="0"/>
      <c r="ALP407" s="0"/>
      <c r="ALQ407" s="0"/>
      <c r="ALR407" s="0"/>
      <c r="ALS407" s="0"/>
      <c r="ALT407" s="0"/>
      <c r="ALU407" s="0"/>
      <c r="ALV407" s="0"/>
      <c r="ALW407" s="0"/>
      <c r="ALX407" s="0"/>
      <c r="ALY407" s="0"/>
      <c r="ALZ407" s="0"/>
      <c r="AMA407" s="0"/>
      <c r="AMB407" s="0"/>
      <c r="AMC407" s="0"/>
      <c r="AMD407" s="0"/>
      <c r="AME407" s="0"/>
      <c r="AMF407" s="0"/>
      <c r="AMG407" s="0"/>
      <c r="AMH407" s="0"/>
      <c r="AMI407" s="0"/>
      <c r="AMJ407" s="0"/>
    </row>
    <row r="408" s="14" customFormat="true" ht="12.8" hidden="false" customHeight="false" outlineLevel="0" collapsed="false">
      <c r="C408" s="26"/>
      <c r="E408" s="26"/>
      <c r="H408" s="2"/>
      <c r="I408" s="26"/>
      <c r="J408" s="26"/>
      <c r="K408" s="26"/>
      <c r="O408" s="26"/>
      <c r="P408" s="26"/>
      <c r="Q408" s="26"/>
      <c r="R408" s="26"/>
      <c r="S408" s="26"/>
      <c r="T408" s="26"/>
      <c r="U408" s="26"/>
      <c r="W408" s="27"/>
      <c r="AE408" s="26"/>
      <c r="AF408" s="26"/>
      <c r="AG408" s="26"/>
      <c r="AH408" s="26"/>
      <c r="AI408" s="26"/>
      <c r="AJ408" s="26"/>
      <c r="AKX408" s="0"/>
      <c r="AKY408" s="0"/>
      <c r="AKZ408" s="0"/>
      <c r="ALA408" s="0"/>
      <c r="ALB408" s="0"/>
      <c r="ALC408" s="0"/>
      <c r="ALD408" s="0"/>
      <c r="ALE408" s="0"/>
      <c r="ALF408" s="0"/>
      <c r="ALG408" s="0"/>
      <c r="ALH408" s="0"/>
      <c r="ALI408" s="0"/>
      <c r="ALJ408" s="0"/>
      <c r="ALK408" s="0"/>
      <c r="ALL408" s="0"/>
      <c r="ALM408" s="0"/>
      <c r="ALN408" s="0"/>
      <c r="ALO408" s="0"/>
      <c r="ALP408" s="0"/>
      <c r="ALQ408" s="0"/>
      <c r="ALR408" s="0"/>
      <c r="ALS408" s="0"/>
      <c r="ALT408" s="0"/>
      <c r="ALU408" s="0"/>
      <c r="ALV408" s="0"/>
      <c r="ALW408" s="0"/>
      <c r="ALX408" s="0"/>
      <c r="ALY408" s="0"/>
      <c r="ALZ408" s="0"/>
      <c r="AMA408" s="0"/>
      <c r="AMB408" s="0"/>
      <c r="AMC408" s="0"/>
      <c r="AMD408" s="0"/>
      <c r="AME408" s="0"/>
      <c r="AMF408" s="0"/>
      <c r="AMG408" s="0"/>
      <c r="AMH408" s="0"/>
      <c r="AMI408" s="0"/>
      <c r="AMJ408" s="0"/>
    </row>
    <row r="409" s="14" customFormat="true" ht="12.8" hidden="false" customHeight="false" outlineLevel="0" collapsed="false">
      <c r="C409" s="26"/>
      <c r="E409" s="26"/>
      <c r="H409" s="2"/>
      <c r="I409" s="26"/>
      <c r="J409" s="26"/>
      <c r="K409" s="26"/>
      <c r="O409" s="26"/>
      <c r="P409" s="26"/>
      <c r="Q409" s="26"/>
      <c r="R409" s="26"/>
      <c r="S409" s="26"/>
      <c r="T409" s="26"/>
      <c r="U409" s="26"/>
      <c r="W409" s="27"/>
      <c r="AE409" s="26"/>
      <c r="AF409" s="26"/>
      <c r="AG409" s="26"/>
      <c r="AH409" s="26"/>
      <c r="AI409" s="26"/>
      <c r="AJ409" s="26"/>
      <c r="AKX409" s="0"/>
      <c r="AKY409" s="0"/>
      <c r="AKZ409" s="0"/>
      <c r="ALA409" s="0"/>
      <c r="ALB409" s="0"/>
      <c r="ALC409" s="0"/>
      <c r="ALD409" s="0"/>
      <c r="ALE409" s="0"/>
      <c r="ALF409" s="0"/>
      <c r="ALG409" s="0"/>
      <c r="ALH409" s="0"/>
      <c r="ALI409" s="0"/>
      <c r="ALJ409" s="0"/>
      <c r="ALK409" s="0"/>
      <c r="ALL409" s="0"/>
      <c r="ALM409" s="0"/>
      <c r="ALN409" s="0"/>
      <c r="ALO409" s="0"/>
      <c r="ALP409" s="0"/>
      <c r="ALQ409" s="0"/>
      <c r="ALR409" s="0"/>
      <c r="ALS409" s="0"/>
      <c r="ALT409" s="0"/>
      <c r="ALU409" s="0"/>
      <c r="ALV409" s="0"/>
      <c r="ALW409" s="0"/>
      <c r="ALX409" s="0"/>
      <c r="ALY409" s="0"/>
      <c r="ALZ409" s="0"/>
      <c r="AMA409" s="0"/>
      <c r="AMB409" s="0"/>
      <c r="AMC409" s="0"/>
      <c r="AMD409" s="0"/>
      <c r="AME409" s="0"/>
      <c r="AMF409" s="0"/>
      <c r="AMG409" s="0"/>
      <c r="AMH409" s="0"/>
      <c r="AMI409" s="0"/>
      <c r="AMJ409" s="0"/>
    </row>
    <row r="410" s="14" customFormat="true" ht="12.8" hidden="false" customHeight="false" outlineLevel="0" collapsed="false">
      <c r="C410" s="26"/>
      <c r="E410" s="26"/>
      <c r="H410" s="2"/>
      <c r="I410" s="26"/>
      <c r="J410" s="26"/>
      <c r="K410" s="26"/>
      <c r="O410" s="26"/>
      <c r="P410" s="26"/>
      <c r="Q410" s="26"/>
      <c r="R410" s="26"/>
      <c r="S410" s="26"/>
      <c r="T410" s="26"/>
      <c r="U410" s="26"/>
      <c r="W410" s="27"/>
      <c r="AE410" s="26"/>
      <c r="AF410" s="26"/>
      <c r="AG410" s="26"/>
      <c r="AH410" s="26"/>
      <c r="AI410" s="26"/>
      <c r="AJ410" s="26"/>
      <c r="AKX410" s="0"/>
      <c r="AKY410" s="0"/>
      <c r="AKZ410" s="0"/>
      <c r="ALA410" s="0"/>
      <c r="ALB410" s="0"/>
      <c r="ALC410" s="0"/>
      <c r="ALD410" s="0"/>
      <c r="ALE410" s="0"/>
      <c r="ALF410" s="0"/>
      <c r="ALG410" s="0"/>
      <c r="ALH410" s="0"/>
      <c r="ALI410" s="0"/>
      <c r="ALJ410" s="0"/>
      <c r="ALK410" s="0"/>
      <c r="ALL410" s="0"/>
      <c r="ALM410" s="0"/>
      <c r="ALN410" s="0"/>
      <c r="ALO410" s="0"/>
      <c r="ALP410" s="0"/>
      <c r="ALQ410" s="0"/>
      <c r="ALR410" s="0"/>
      <c r="ALS410" s="0"/>
      <c r="ALT410" s="0"/>
      <c r="ALU410" s="0"/>
      <c r="ALV410" s="0"/>
      <c r="ALW410" s="0"/>
      <c r="ALX410" s="0"/>
      <c r="ALY410" s="0"/>
      <c r="ALZ410" s="0"/>
      <c r="AMA410" s="0"/>
      <c r="AMB410" s="0"/>
      <c r="AMC410" s="0"/>
      <c r="AMD410" s="0"/>
      <c r="AME410" s="0"/>
      <c r="AMF410" s="0"/>
      <c r="AMG410" s="0"/>
      <c r="AMH410" s="0"/>
      <c r="AMI410" s="0"/>
      <c r="AMJ410" s="0"/>
    </row>
    <row r="411" s="14" customFormat="true" ht="12.8" hidden="false" customHeight="false" outlineLevel="0" collapsed="false">
      <c r="C411" s="26"/>
      <c r="E411" s="26"/>
      <c r="H411" s="2"/>
      <c r="I411" s="26"/>
      <c r="J411" s="26"/>
      <c r="K411" s="26"/>
      <c r="O411" s="26"/>
      <c r="P411" s="26"/>
      <c r="Q411" s="26"/>
      <c r="R411" s="26"/>
      <c r="S411" s="26"/>
      <c r="T411" s="26"/>
      <c r="U411" s="26"/>
      <c r="W411" s="27"/>
      <c r="AE411" s="26"/>
      <c r="AF411" s="26"/>
      <c r="AG411" s="26"/>
      <c r="AH411" s="26"/>
      <c r="AI411" s="26"/>
      <c r="AJ411" s="26"/>
      <c r="AKX411" s="0"/>
      <c r="AKY411" s="0"/>
      <c r="AKZ411" s="0"/>
      <c r="ALA411" s="0"/>
      <c r="ALB411" s="0"/>
      <c r="ALC411" s="0"/>
      <c r="ALD411" s="0"/>
      <c r="ALE411" s="0"/>
      <c r="ALF411" s="0"/>
      <c r="ALG411" s="0"/>
      <c r="ALH411" s="0"/>
      <c r="ALI411" s="0"/>
      <c r="ALJ411" s="0"/>
      <c r="ALK411" s="0"/>
      <c r="ALL411" s="0"/>
      <c r="ALM411" s="0"/>
      <c r="ALN411" s="0"/>
      <c r="ALO411" s="0"/>
      <c r="ALP411" s="0"/>
      <c r="ALQ411" s="0"/>
      <c r="ALR411" s="0"/>
      <c r="ALS411" s="0"/>
      <c r="ALT411" s="0"/>
      <c r="ALU411" s="0"/>
      <c r="ALV411" s="0"/>
      <c r="ALW411" s="0"/>
      <c r="ALX411" s="0"/>
      <c r="ALY411" s="0"/>
      <c r="ALZ411" s="0"/>
      <c r="AMA411" s="0"/>
      <c r="AMB411" s="0"/>
      <c r="AMC411" s="0"/>
      <c r="AMD411" s="0"/>
      <c r="AME411" s="0"/>
      <c r="AMF411" s="0"/>
      <c r="AMG411" s="0"/>
      <c r="AMH411" s="0"/>
      <c r="AMI411" s="0"/>
      <c r="AMJ411" s="0"/>
    </row>
    <row r="412" s="14" customFormat="true" ht="12.8" hidden="false" customHeight="false" outlineLevel="0" collapsed="false">
      <c r="C412" s="26"/>
      <c r="E412" s="26"/>
      <c r="H412" s="2"/>
      <c r="I412" s="26"/>
      <c r="J412" s="26"/>
      <c r="K412" s="26"/>
      <c r="O412" s="26"/>
      <c r="P412" s="26"/>
      <c r="Q412" s="26"/>
      <c r="R412" s="26"/>
      <c r="S412" s="26"/>
      <c r="T412" s="26"/>
      <c r="U412" s="26"/>
      <c r="W412" s="27"/>
      <c r="AE412" s="26"/>
      <c r="AF412" s="26"/>
      <c r="AG412" s="26"/>
      <c r="AH412" s="26"/>
      <c r="AI412" s="26"/>
      <c r="AJ412" s="26"/>
      <c r="AKX412" s="0"/>
      <c r="AKY412" s="0"/>
      <c r="AKZ412" s="0"/>
      <c r="ALA412" s="0"/>
      <c r="ALB412" s="0"/>
      <c r="ALC412" s="0"/>
      <c r="ALD412" s="0"/>
      <c r="ALE412" s="0"/>
      <c r="ALF412" s="0"/>
      <c r="ALG412" s="0"/>
      <c r="ALH412" s="0"/>
      <c r="ALI412" s="0"/>
      <c r="ALJ412" s="0"/>
      <c r="ALK412" s="0"/>
      <c r="ALL412" s="0"/>
      <c r="ALM412" s="0"/>
      <c r="ALN412" s="0"/>
      <c r="ALO412" s="0"/>
      <c r="ALP412" s="0"/>
      <c r="ALQ412" s="0"/>
      <c r="ALR412" s="0"/>
      <c r="ALS412" s="0"/>
      <c r="ALT412" s="0"/>
      <c r="ALU412" s="0"/>
      <c r="ALV412" s="0"/>
      <c r="ALW412" s="0"/>
      <c r="ALX412" s="0"/>
      <c r="ALY412" s="0"/>
      <c r="ALZ412" s="0"/>
      <c r="AMA412" s="0"/>
      <c r="AMB412" s="0"/>
      <c r="AMC412" s="0"/>
      <c r="AMD412" s="0"/>
      <c r="AME412" s="0"/>
      <c r="AMF412" s="0"/>
      <c r="AMG412" s="0"/>
      <c r="AMH412" s="0"/>
      <c r="AMI412" s="0"/>
      <c r="AMJ412" s="0"/>
    </row>
    <row r="413" s="14" customFormat="true" ht="12.8" hidden="false" customHeight="false" outlineLevel="0" collapsed="false">
      <c r="C413" s="26"/>
      <c r="E413" s="26"/>
      <c r="H413" s="2"/>
      <c r="I413" s="26"/>
      <c r="J413" s="26"/>
      <c r="K413" s="26"/>
      <c r="O413" s="26"/>
      <c r="P413" s="26"/>
      <c r="Q413" s="26"/>
      <c r="R413" s="26"/>
      <c r="S413" s="26"/>
      <c r="T413" s="26"/>
      <c r="U413" s="26"/>
      <c r="W413" s="27"/>
      <c r="AE413" s="26"/>
      <c r="AF413" s="26"/>
      <c r="AG413" s="26"/>
      <c r="AH413" s="26"/>
      <c r="AI413" s="26"/>
      <c r="AJ413" s="26"/>
      <c r="AKX413" s="0"/>
      <c r="AKY413" s="0"/>
      <c r="AKZ413" s="0"/>
      <c r="ALA413" s="0"/>
      <c r="ALB413" s="0"/>
      <c r="ALC413" s="0"/>
      <c r="ALD413" s="0"/>
      <c r="ALE413" s="0"/>
      <c r="ALF413" s="0"/>
      <c r="ALG413" s="0"/>
      <c r="ALH413" s="0"/>
      <c r="ALI413" s="0"/>
      <c r="ALJ413" s="0"/>
      <c r="ALK413" s="0"/>
      <c r="ALL413" s="0"/>
      <c r="ALM413" s="0"/>
      <c r="ALN413" s="0"/>
      <c r="ALO413" s="0"/>
      <c r="ALP413" s="0"/>
      <c r="ALQ413" s="0"/>
      <c r="ALR413" s="0"/>
      <c r="ALS413" s="0"/>
      <c r="ALT413" s="0"/>
      <c r="ALU413" s="0"/>
      <c r="ALV413" s="0"/>
      <c r="ALW413" s="0"/>
      <c r="ALX413" s="0"/>
      <c r="ALY413" s="0"/>
      <c r="ALZ413" s="0"/>
      <c r="AMA413" s="0"/>
      <c r="AMB413" s="0"/>
      <c r="AMC413" s="0"/>
      <c r="AMD413" s="0"/>
      <c r="AME413" s="0"/>
      <c r="AMF413" s="0"/>
      <c r="AMG413" s="0"/>
      <c r="AMH413" s="0"/>
      <c r="AMI413" s="0"/>
      <c r="AMJ413" s="0"/>
    </row>
    <row r="414" s="14" customFormat="true" ht="12.8" hidden="false" customHeight="false" outlineLevel="0" collapsed="false">
      <c r="C414" s="26"/>
      <c r="E414" s="26"/>
      <c r="H414" s="2"/>
      <c r="I414" s="26"/>
      <c r="J414" s="26"/>
      <c r="K414" s="26"/>
      <c r="O414" s="26"/>
      <c r="P414" s="26"/>
      <c r="Q414" s="26"/>
      <c r="R414" s="26"/>
      <c r="S414" s="26"/>
      <c r="T414" s="26"/>
      <c r="U414" s="26"/>
      <c r="W414" s="27"/>
      <c r="AE414" s="26"/>
      <c r="AF414" s="26"/>
      <c r="AG414" s="26"/>
      <c r="AH414" s="26"/>
      <c r="AI414" s="26"/>
      <c r="AJ414" s="26"/>
      <c r="AKX414" s="0"/>
      <c r="AKY414" s="0"/>
      <c r="AKZ414" s="0"/>
      <c r="ALA414" s="0"/>
      <c r="ALB414" s="0"/>
      <c r="ALC414" s="0"/>
      <c r="ALD414" s="0"/>
      <c r="ALE414" s="0"/>
      <c r="ALF414" s="0"/>
      <c r="ALG414" s="0"/>
      <c r="ALH414" s="0"/>
      <c r="ALI414" s="0"/>
      <c r="ALJ414" s="0"/>
      <c r="ALK414" s="0"/>
      <c r="ALL414" s="0"/>
      <c r="ALM414" s="0"/>
      <c r="ALN414" s="0"/>
      <c r="ALO414" s="0"/>
      <c r="ALP414" s="0"/>
      <c r="ALQ414" s="0"/>
      <c r="ALR414" s="0"/>
      <c r="ALS414" s="0"/>
      <c r="ALT414" s="0"/>
      <c r="ALU414" s="0"/>
      <c r="ALV414" s="0"/>
      <c r="ALW414" s="0"/>
      <c r="ALX414" s="0"/>
      <c r="ALY414" s="0"/>
      <c r="ALZ414" s="0"/>
      <c r="AMA414" s="0"/>
      <c r="AMB414" s="0"/>
      <c r="AMC414" s="0"/>
      <c r="AMD414" s="0"/>
      <c r="AME414" s="0"/>
      <c r="AMF414" s="0"/>
      <c r="AMG414" s="0"/>
      <c r="AMH414" s="0"/>
      <c r="AMI414" s="0"/>
      <c r="AMJ414" s="0"/>
    </row>
    <row r="415" s="14" customFormat="true" ht="12.8" hidden="false" customHeight="false" outlineLevel="0" collapsed="false">
      <c r="C415" s="26"/>
      <c r="E415" s="26"/>
      <c r="H415" s="2"/>
      <c r="I415" s="26"/>
      <c r="J415" s="26"/>
      <c r="K415" s="26"/>
      <c r="O415" s="26"/>
      <c r="P415" s="26"/>
      <c r="Q415" s="26"/>
      <c r="R415" s="26"/>
      <c r="S415" s="26"/>
      <c r="T415" s="26"/>
      <c r="U415" s="26"/>
      <c r="W415" s="27"/>
      <c r="AE415" s="26"/>
      <c r="AF415" s="26"/>
      <c r="AG415" s="26"/>
      <c r="AH415" s="26"/>
      <c r="AI415" s="26"/>
      <c r="AJ415" s="26"/>
      <c r="AKX415" s="0"/>
      <c r="AKY415" s="0"/>
      <c r="AKZ415" s="0"/>
      <c r="ALA415" s="0"/>
      <c r="ALB415" s="0"/>
      <c r="ALC415" s="0"/>
      <c r="ALD415" s="0"/>
      <c r="ALE415" s="0"/>
      <c r="ALF415" s="0"/>
      <c r="ALG415" s="0"/>
      <c r="ALH415" s="0"/>
      <c r="ALI415" s="0"/>
      <c r="ALJ415" s="0"/>
      <c r="ALK415" s="0"/>
      <c r="ALL415" s="0"/>
      <c r="ALM415" s="0"/>
      <c r="ALN415" s="0"/>
      <c r="ALO415" s="0"/>
      <c r="ALP415" s="0"/>
      <c r="ALQ415" s="0"/>
      <c r="ALR415" s="0"/>
      <c r="ALS415" s="0"/>
      <c r="ALT415" s="0"/>
      <c r="ALU415" s="0"/>
      <c r="ALV415" s="0"/>
      <c r="ALW415" s="0"/>
      <c r="ALX415" s="0"/>
      <c r="ALY415" s="0"/>
      <c r="ALZ415" s="0"/>
      <c r="AMA415" s="0"/>
      <c r="AMB415" s="0"/>
      <c r="AMC415" s="0"/>
      <c r="AMD415" s="0"/>
      <c r="AME415" s="0"/>
      <c r="AMF415" s="0"/>
      <c r="AMG415" s="0"/>
      <c r="AMH415" s="0"/>
      <c r="AMI415" s="0"/>
      <c r="AMJ415" s="0"/>
    </row>
    <row r="416" s="14" customFormat="true" ht="12.8" hidden="false" customHeight="false" outlineLevel="0" collapsed="false">
      <c r="C416" s="26"/>
      <c r="E416" s="26"/>
      <c r="H416" s="2"/>
      <c r="I416" s="26"/>
      <c r="J416" s="26"/>
      <c r="K416" s="26"/>
      <c r="O416" s="26"/>
      <c r="P416" s="26"/>
      <c r="Q416" s="26"/>
      <c r="R416" s="26"/>
      <c r="S416" s="26"/>
      <c r="T416" s="26"/>
      <c r="U416" s="26"/>
      <c r="W416" s="27"/>
      <c r="AE416" s="26"/>
      <c r="AF416" s="26"/>
      <c r="AG416" s="26"/>
      <c r="AH416" s="26"/>
      <c r="AI416" s="26"/>
      <c r="AJ416" s="26"/>
      <c r="AKX416" s="0"/>
      <c r="AKY416" s="0"/>
      <c r="AKZ416" s="0"/>
      <c r="ALA416" s="0"/>
      <c r="ALB416" s="0"/>
      <c r="ALC416" s="0"/>
      <c r="ALD416" s="0"/>
      <c r="ALE416" s="0"/>
      <c r="ALF416" s="0"/>
      <c r="ALG416" s="0"/>
      <c r="ALH416" s="0"/>
      <c r="ALI416" s="0"/>
      <c r="ALJ416" s="0"/>
      <c r="ALK416" s="0"/>
      <c r="ALL416" s="0"/>
      <c r="ALM416" s="0"/>
      <c r="ALN416" s="0"/>
      <c r="ALO416" s="0"/>
      <c r="ALP416" s="0"/>
      <c r="ALQ416" s="0"/>
      <c r="ALR416" s="0"/>
      <c r="ALS416" s="0"/>
      <c r="ALT416" s="0"/>
      <c r="ALU416" s="0"/>
      <c r="ALV416" s="0"/>
      <c r="ALW416" s="0"/>
      <c r="ALX416" s="0"/>
      <c r="ALY416" s="0"/>
      <c r="ALZ416" s="0"/>
      <c r="AMA416" s="0"/>
      <c r="AMB416" s="0"/>
      <c r="AMC416" s="0"/>
      <c r="AMD416" s="0"/>
      <c r="AME416" s="0"/>
      <c r="AMF416" s="0"/>
      <c r="AMG416" s="0"/>
      <c r="AMH416" s="0"/>
      <c r="AMI416" s="0"/>
      <c r="AMJ416" s="0"/>
    </row>
    <row r="417" s="14" customFormat="true" ht="12.8" hidden="false" customHeight="false" outlineLevel="0" collapsed="false">
      <c r="C417" s="26"/>
      <c r="E417" s="26"/>
      <c r="H417" s="2"/>
      <c r="I417" s="26"/>
      <c r="J417" s="26"/>
      <c r="K417" s="26"/>
      <c r="O417" s="26"/>
      <c r="P417" s="26"/>
      <c r="Q417" s="26"/>
      <c r="R417" s="26"/>
      <c r="S417" s="26"/>
      <c r="T417" s="26"/>
      <c r="U417" s="26"/>
      <c r="W417" s="27"/>
      <c r="AE417" s="26"/>
      <c r="AF417" s="26"/>
      <c r="AG417" s="26"/>
      <c r="AH417" s="26"/>
      <c r="AI417" s="26"/>
      <c r="AJ417" s="26"/>
      <c r="AKX417" s="0"/>
      <c r="AKY417" s="0"/>
      <c r="AKZ417" s="0"/>
      <c r="ALA417" s="0"/>
      <c r="ALB417" s="0"/>
      <c r="ALC417" s="0"/>
      <c r="ALD417" s="0"/>
      <c r="ALE417" s="0"/>
      <c r="ALF417" s="0"/>
      <c r="ALG417" s="0"/>
      <c r="ALH417" s="0"/>
      <c r="ALI417" s="0"/>
      <c r="ALJ417" s="0"/>
      <c r="ALK417" s="0"/>
      <c r="ALL417" s="0"/>
      <c r="ALM417" s="0"/>
      <c r="ALN417" s="0"/>
      <c r="ALO417" s="0"/>
      <c r="ALP417" s="0"/>
      <c r="ALQ417" s="0"/>
      <c r="ALR417" s="0"/>
      <c r="ALS417" s="0"/>
      <c r="ALT417" s="0"/>
      <c r="ALU417" s="0"/>
      <c r="ALV417" s="0"/>
      <c r="ALW417" s="0"/>
      <c r="ALX417" s="0"/>
      <c r="ALY417" s="0"/>
      <c r="ALZ417" s="0"/>
      <c r="AMA417" s="0"/>
      <c r="AMB417" s="0"/>
      <c r="AMC417" s="0"/>
      <c r="AMD417" s="0"/>
      <c r="AME417" s="0"/>
      <c r="AMF417" s="0"/>
      <c r="AMG417" s="0"/>
      <c r="AMH417" s="0"/>
      <c r="AMI417" s="0"/>
      <c r="AMJ417" s="0"/>
    </row>
    <row r="418" s="14" customFormat="true" ht="12.8" hidden="false" customHeight="false" outlineLevel="0" collapsed="false">
      <c r="C418" s="26"/>
      <c r="E418" s="26"/>
      <c r="H418" s="2"/>
      <c r="I418" s="26"/>
      <c r="J418" s="26"/>
      <c r="K418" s="26"/>
      <c r="O418" s="26"/>
      <c r="P418" s="26"/>
      <c r="Q418" s="26"/>
      <c r="R418" s="26"/>
      <c r="S418" s="26"/>
      <c r="T418" s="26"/>
      <c r="U418" s="26"/>
      <c r="W418" s="27"/>
      <c r="AE418" s="26"/>
      <c r="AF418" s="26"/>
      <c r="AG418" s="26"/>
      <c r="AH418" s="26"/>
      <c r="AI418" s="26"/>
      <c r="AJ418" s="26"/>
      <c r="AKX418" s="0"/>
      <c r="AKY418" s="0"/>
      <c r="AKZ418" s="0"/>
      <c r="ALA418" s="0"/>
      <c r="ALB418" s="0"/>
      <c r="ALC418" s="0"/>
      <c r="ALD418" s="0"/>
      <c r="ALE418" s="0"/>
      <c r="ALF418" s="0"/>
      <c r="ALG418" s="0"/>
      <c r="ALH418" s="0"/>
      <c r="ALI418" s="0"/>
      <c r="ALJ418" s="0"/>
      <c r="ALK418" s="0"/>
      <c r="ALL418" s="0"/>
      <c r="ALM418" s="0"/>
      <c r="ALN418" s="0"/>
      <c r="ALO418" s="0"/>
      <c r="ALP418" s="0"/>
      <c r="ALQ418" s="0"/>
      <c r="ALR418" s="0"/>
      <c r="ALS418" s="0"/>
      <c r="ALT418" s="0"/>
      <c r="ALU418" s="0"/>
      <c r="ALV418" s="0"/>
      <c r="ALW418" s="0"/>
      <c r="ALX418" s="0"/>
      <c r="ALY418" s="0"/>
      <c r="ALZ418" s="0"/>
      <c r="AMA418" s="0"/>
      <c r="AMB418" s="0"/>
      <c r="AMC418" s="0"/>
      <c r="AMD418" s="0"/>
      <c r="AME418" s="0"/>
      <c r="AMF418" s="0"/>
      <c r="AMG418" s="0"/>
      <c r="AMH418" s="0"/>
      <c r="AMI418" s="0"/>
      <c r="AMJ418" s="0"/>
    </row>
    <row r="419" s="14" customFormat="true" ht="12.8" hidden="false" customHeight="false" outlineLevel="0" collapsed="false">
      <c r="C419" s="26"/>
      <c r="E419" s="26"/>
      <c r="H419" s="2"/>
      <c r="I419" s="26"/>
      <c r="J419" s="26"/>
      <c r="K419" s="26"/>
      <c r="O419" s="26"/>
      <c r="P419" s="26"/>
      <c r="Q419" s="26"/>
      <c r="R419" s="26"/>
      <c r="S419" s="26"/>
      <c r="T419" s="26"/>
      <c r="U419" s="26"/>
      <c r="W419" s="27"/>
      <c r="AE419" s="26"/>
      <c r="AF419" s="26"/>
      <c r="AG419" s="26"/>
      <c r="AH419" s="26"/>
      <c r="AI419" s="26"/>
      <c r="AJ419" s="26"/>
      <c r="AKX419" s="0"/>
      <c r="AKY419" s="0"/>
      <c r="AKZ419" s="0"/>
      <c r="ALA419" s="0"/>
      <c r="ALB419" s="0"/>
      <c r="ALC419" s="0"/>
      <c r="ALD419" s="0"/>
      <c r="ALE419" s="0"/>
      <c r="ALF419" s="0"/>
      <c r="ALG419" s="0"/>
      <c r="ALH419" s="0"/>
      <c r="ALI419" s="0"/>
      <c r="ALJ419" s="0"/>
      <c r="ALK419" s="0"/>
      <c r="ALL419" s="0"/>
      <c r="ALM419" s="0"/>
      <c r="ALN419" s="0"/>
      <c r="ALO419" s="0"/>
      <c r="ALP419" s="0"/>
      <c r="ALQ419" s="0"/>
      <c r="ALR419" s="0"/>
      <c r="ALS419" s="0"/>
      <c r="ALT419" s="0"/>
      <c r="ALU419" s="0"/>
      <c r="ALV419" s="0"/>
      <c r="ALW419" s="0"/>
      <c r="ALX419" s="0"/>
      <c r="ALY419" s="0"/>
      <c r="ALZ419" s="0"/>
      <c r="AMA419" s="0"/>
      <c r="AMB419" s="0"/>
      <c r="AMC419" s="0"/>
      <c r="AMD419" s="0"/>
      <c r="AME419" s="0"/>
      <c r="AMF419" s="0"/>
      <c r="AMG419" s="0"/>
      <c r="AMH419" s="0"/>
      <c r="AMI419" s="0"/>
      <c r="AMJ419" s="0"/>
    </row>
    <row r="420" s="14" customFormat="true" ht="12.8" hidden="false" customHeight="false" outlineLevel="0" collapsed="false">
      <c r="C420" s="26"/>
      <c r="E420" s="26"/>
      <c r="H420" s="2"/>
      <c r="I420" s="26"/>
      <c r="J420" s="26"/>
      <c r="K420" s="26"/>
      <c r="O420" s="26"/>
      <c r="P420" s="26"/>
      <c r="Q420" s="26"/>
      <c r="R420" s="26"/>
      <c r="S420" s="26"/>
      <c r="T420" s="26"/>
      <c r="U420" s="26"/>
      <c r="W420" s="27"/>
      <c r="AE420" s="26"/>
      <c r="AF420" s="26"/>
      <c r="AG420" s="26"/>
      <c r="AH420" s="26"/>
      <c r="AI420" s="26"/>
      <c r="AJ420" s="26"/>
      <c r="AKX420" s="0"/>
      <c r="AKY420" s="0"/>
      <c r="AKZ420" s="0"/>
      <c r="ALA420" s="0"/>
      <c r="ALB420" s="0"/>
      <c r="ALC420" s="0"/>
      <c r="ALD420" s="0"/>
      <c r="ALE420" s="0"/>
      <c r="ALF420" s="0"/>
      <c r="ALG420" s="0"/>
      <c r="ALH420" s="0"/>
      <c r="ALI420" s="0"/>
      <c r="ALJ420" s="0"/>
      <c r="ALK420" s="0"/>
      <c r="ALL420" s="0"/>
      <c r="ALM420" s="0"/>
      <c r="ALN420" s="0"/>
      <c r="ALO420" s="0"/>
      <c r="ALP420" s="0"/>
      <c r="ALQ420" s="0"/>
      <c r="ALR420" s="0"/>
      <c r="ALS420" s="0"/>
      <c r="ALT420" s="0"/>
      <c r="ALU420" s="0"/>
      <c r="ALV420" s="0"/>
      <c r="ALW420" s="0"/>
      <c r="ALX420" s="0"/>
      <c r="ALY420" s="0"/>
      <c r="ALZ420" s="0"/>
      <c r="AMA420" s="0"/>
      <c r="AMB420" s="0"/>
      <c r="AMC420" s="0"/>
      <c r="AMD420" s="0"/>
      <c r="AME420" s="0"/>
      <c r="AMF420" s="0"/>
      <c r="AMG420" s="0"/>
      <c r="AMH420" s="0"/>
      <c r="AMI420" s="0"/>
      <c r="AMJ420" s="0"/>
    </row>
    <row r="421" s="14" customFormat="true" ht="12.8" hidden="false" customHeight="false" outlineLevel="0" collapsed="false">
      <c r="C421" s="26"/>
      <c r="E421" s="26"/>
      <c r="H421" s="2"/>
      <c r="I421" s="26"/>
      <c r="J421" s="26"/>
      <c r="K421" s="26"/>
      <c r="O421" s="26"/>
      <c r="P421" s="26"/>
      <c r="Q421" s="26"/>
      <c r="R421" s="26"/>
      <c r="S421" s="26"/>
      <c r="T421" s="26"/>
      <c r="U421" s="26"/>
      <c r="W421" s="27"/>
      <c r="AE421" s="26"/>
      <c r="AF421" s="26"/>
      <c r="AG421" s="26"/>
      <c r="AH421" s="26"/>
      <c r="AI421" s="26"/>
      <c r="AJ421" s="26"/>
      <c r="AKX421" s="0"/>
      <c r="AKY421" s="0"/>
      <c r="AKZ421" s="0"/>
      <c r="ALA421" s="0"/>
      <c r="ALB421" s="0"/>
      <c r="ALC421" s="0"/>
      <c r="ALD421" s="0"/>
      <c r="ALE421" s="0"/>
      <c r="ALF421" s="0"/>
      <c r="ALG421" s="0"/>
      <c r="ALH421" s="0"/>
      <c r="ALI421" s="0"/>
      <c r="ALJ421" s="0"/>
      <c r="ALK421" s="0"/>
      <c r="ALL421" s="0"/>
      <c r="ALM421" s="0"/>
      <c r="ALN421" s="0"/>
      <c r="ALO421" s="0"/>
      <c r="ALP421" s="0"/>
      <c r="ALQ421" s="0"/>
      <c r="ALR421" s="0"/>
      <c r="ALS421" s="0"/>
      <c r="ALT421" s="0"/>
      <c r="ALU421" s="0"/>
      <c r="ALV421" s="0"/>
      <c r="ALW421" s="0"/>
      <c r="ALX421" s="0"/>
      <c r="ALY421" s="0"/>
      <c r="ALZ421" s="0"/>
      <c r="AMA421" s="0"/>
      <c r="AMB421" s="0"/>
      <c r="AMC421" s="0"/>
      <c r="AMD421" s="0"/>
      <c r="AME421" s="0"/>
      <c r="AMF421" s="0"/>
      <c r="AMG421" s="0"/>
      <c r="AMH421" s="0"/>
      <c r="AMI421" s="0"/>
      <c r="AMJ421" s="0"/>
    </row>
    <row r="422" s="14" customFormat="true" ht="12.8" hidden="false" customHeight="false" outlineLevel="0" collapsed="false">
      <c r="C422" s="26"/>
      <c r="E422" s="26"/>
      <c r="H422" s="2"/>
      <c r="I422" s="26"/>
      <c r="J422" s="26"/>
      <c r="K422" s="26"/>
      <c r="O422" s="26"/>
      <c r="P422" s="26"/>
      <c r="Q422" s="26"/>
      <c r="R422" s="26"/>
      <c r="S422" s="26"/>
      <c r="T422" s="26"/>
      <c r="U422" s="26"/>
      <c r="W422" s="27"/>
      <c r="AE422" s="26"/>
      <c r="AF422" s="26"/>
      <c r="AG422" s="26"/>
      <c r="AH422" s="26"/>
      <c r="AI422" s="26"/>
      <c r="AJ422" s="26"/>
      <c r="AKX422" s="0"/>
      <c r="AKY422" s="0"/>
      <c r="AKZ422" s="0"/>
      <c r="ALA422" s="0"/>
      <c r="ALB422" s="0"/>
      <c r="ALC422" s="0"/>
      <c r="ALD422" s="0"/>
      <c r="ALE422" s="0"/>
      <c r="ALF422" s="0"/>
      <c r="ALG422" s="0"/>
      <c r="ALH422" s="0"/>
      <c r="ALI422" s="0"/>
      <c r="ALJ422" s="0"/>
      <c r="ALK422" s="0"/>
      <c r="ALL422" s="0"/>
      <c r="ALM422" s="0"/>
      <c r="ALN422" s="0"/>
      <c r="ALO422" s="0"/>
      <c r="ALP422" s="0"/>
      <c r="ALQ422" s="0"/>
      <c r="ALR422" s="0"/>
      <c r="ALS422" s="0"/>
      <c r="ALT422" s="0"/>
      <c r="ALU422" s="0"/>
      <c r="ALV422" s="0"/>
      <c r="ALW422" s="0"/>
      <c r="ALX422" s="0"/>
      <c r="ALY422" s="0"/>
      <c r="ALZ422" s="0"/>
      <c r="AMA422" s="0"/>
      <c r="AMB422" s="0"/>
      <c r="AMC422" s="0"/>
      <c r="AMD422" s="0"/>
      <c r="AME422" s="0"/>
      <c r="AMF422" s="0"/>
      <c r="AMG422" s="0"/>
      <c r="AMH422" s="0"/>
      <c r="AMI422" s="0"/>
      <c r="AMJ422" s="0"/>
    </row>
    <row r="423" s="14" customFormat="true" ht="12.8" hidden="false" customHeight="false" outlineLevel="0" collapsed="false">
      <c r="C423" s="26"/>
      <c r="E423" s="26"/>
      <c r="H423" s="2"/>
      <c r="I423" s="26"/>
      <c r="J423" s="26"/>
      <c r="K423" s="26"/>
      <c r="O423" s="26"/>
      <c r="P423" s="26"/>
      <c r="Q423" s="26"/>
      <c r="R423" s="26"/>
      <c r="S423" s="26"/>
      <c r="T423" s="26"/>
      <c r="U423" s="26"/>
      <c r="W423" s="27"/>
      <c r="AE423" s="26"/>
      <c r="AF423" s="26"/>
      <c r="AG423" s="26"/>
      <c r="AH423" s="26"/>
      <c r="AI423" s="26"/>
      <c r="AJ423" s="26"/>
      <c r="AKX423" s="0"/>
      <c r="AKY423" s="0"/>
      <c r="AKZ423" s="0"/>
      <c r="ALA423" s="0"/>
      <c r="ALB423" s="0"/>
      <c r="ALC423" s="0"/>
      <c r="ALD423" s="0"/>
      <c r="ALE423" s="0"/>
      <c r="ALF423" s="0"/>
      <c r="ALG423" s="0"/>
      <c r="ALH423" s="0"/>
      <c r="ALI423" s="0"/>
      <c r="ALJ423" s="0"/>
      <c r="ALK423" s="0"/>
      <c r="ALL423" s="0"/>
      <c r="ALM423" s="0"/>
      <c r="ALN423" s="0"/>
      <c r="ALO423" s="0"/>
      <c r="ALP423" s="0"/>
      <c r="ALQ423" s="0"/>
      <c r="ALR423" s="0"/>
      <c r="ALS423" s="0"/>
      <c r="ALT423" s="0"/>
      <c r="ALU423" s="0"/>
      <c r="ALV423" s="0"/>
      <c r="ALW423" s="0"/>
      <c r="ALX423" s="0"/>
      <c r="ALY423" s="0"/>
      <c r="ALZ423" s="0"/>
      <c r="AMA423" s="0"/>
      <c r="AMB423" s="0"/>
      <c r="AMC423" s="0"/>
      <c r="AMD423" s="0"/>
      <c r="AME423" s="0"/>
      <c r="AMF423" s="0"/>
      <c r="AMG423" s="0"/>
      <c r="AMH423" s="0"/>
      <c r="AMI423" s="0"/>
      <c r="AMJ423" s="0"/>
    </row>
    <row r="424" s="14" customFormat="true" ht="12.8" hidden="false" customHeight="false" outlineLevel="0" collapsed="false">
      <c r="C424" s="26"/>
      <c r="E424" s="26"/>
      <c r="H424" s="2"/>
      <c r="I424" s="26"/>
      <c r="J424" s="26"/>
      <c r="K424" s="26"/>
      <c r="O424" s="26"/>
      <c r="P424" s="26"/>
      <c r="Q424" s="26"/>
      <c r="R424" s="26"/>
      <c r="S424" s="26"/>
      <c r="T424" s="26"/>
      <c r="U424" s="26"/>
      <c r="W424" s="27"/>
      <c r="AE424" s="26"/>
      <c r="AF424" s="26"/>
      <c r="AG424" s="26"/>
      <c r="AH424" s="26"/>
      <c r="AI424" s="26"/>
      <c r="AJ424" s="26"/>
      <c r="AKX424" s="0"/>
      <c r="AKY424" s="0"/>
      <c r="AKZ424" s="0"/>
      <c r="ALA424" s="0"/>
      <c r="ALB424" s="0"/>
      <c r="ALC424" s="0"/>
      <c r="ALD424" s="0"/>
      <c r="ALE424" s="0"/>
      <c r="ALF424" s="0"/>
      <c r="ALG424" s="0"/>
      <c r="ALH424" s="0"/>
      <c r="ALI424" s="0"/>
      <c r="ALJ424" s="0"/>
      <c r="ALK424" s="0"/>
      <c r="ALL424" s="0"/>
      <c r="ALM424" s="0"/>
      <c r="ALN424" s="0"/>
      <c r="ALO424" s="0"/>
      <c r="ALP424" s="0"/>
      <c r="ALQ424" s="0"/>
      <c r="ALR424" s="0"/>
      <c r="ALS424" s="0"/>
      <c r="ALT424" s="0"/>
      <c r="ALU424" s="0"/>
      <c r="ALV424" s="0"/>
      <c r="ALW424" s="0"/>
      <c r="ALX424" s="0"/>
      <c r="ALY424" s="0"/>
      <c r="ALZ424" s="0"/>
      <c r="AMA424" s="0"/>
      <c r="AMB424" s="0"/>
      <c r="AMC424" s="0"/>
      <c r="AMD424" s="0"/>
      <c r="AME424" s="0"/>
      <c r="AMF424" s="0"/>
      <c r="AMG424" s="0"/>
      <c r="AMH424" s="0"/>
      <c r="AMI424" s="0"/>
      <c r="AMJ424" s="0"/>
    </row>
    <row r="425" s="14" customFormat="true" ht="12.8" hidden="false" customHeight="false" outlineLevel="0" collapsed="false">
      <c r="C425" s="26"/>
      <c r="E425" s="26"/>
      <c r="H425" s="2"/>
      <c r="I425" s="26"/>
      <c r="J425" s="26"/>
      <c r="K425" s="26"/>
      <c r="O425" s="26"/>
      <c r="P425" s="26"/>
      <c r="Q425" s="26"/>
      <c r="R425" s="26"/>
      <c r="S425" s="26"/>
      <c r="T425" s="26"/>
      <c r="U425" s="26"/>
      <c r="W425" s="27"/>
      <c r="AE425" s="26"/>
      <c r="AF425" s="26"/>
      <c r="AG425" s="26"/>
      <c r="AH425" s="26"/>
      <c r="AI425" s="26"/>
      <c r="AJ425" s="26"/>
      <c r="AKX425" s="0"/>
      <c r="AKY425" s="0"/>
      <c r="AKZ425" s="0"/>
      <c r="ALA425" s="0"/>
      <c r="ALB425" s="0"/>
      <c r="ALC425" s="0"/>
      <c r="ALD425" s="0"/>
      <c r="ALE425" s="0"/>
      <c r="ALF425" s="0"/>
      <c r="ALG425" s="0"/>
      <c r="ALH425" s="0"/>
      <c r="ALI425" s="0"/>
      <c r="ALJ425" s="0"/>
      <c r="ALK425" s="0"/>
      <c r="ALL425" s="0"/>
      <c r="ALM425" s="0"/>
      <c r="ALN425" s="0"/>
      <c r="ALO425" s="0"/>
      <c r="ALP425" s="0"/>
      <c r="ALQ425" s="0"/>
      <c r="ALR425" s="0"/>
      <c r="ALS425" s="0"/>
      <c r="ALT425" s="0"/>
      <c r="ALU425" s="0"/>
      <c r="ALV425" s="0"/>
      <c r="ALW425" s="0"/>
      <c r="ALX425" s="0"/>
      <c r="ALY425" s="0"/>
      <c r="ALZ425" s="0"/>
      <c r="AMA425" s="0"/>
      <c r="AMB425" s="0"/>
      <c r="AMC425" s="0"/>
      <c r="AMD425" s="0"/>
      <c r="AME425" s="0"/>
      <c r="AMF425" s="0"/>
      <c r="AMG425" s="0"/>
      <c r="AMH425" s="0"/>
      <c r="AMI425" s="0"/>
      <c r="AMJ425" s="0"/>
    </row>
    <row r="426" s="14" customFormat="true" ht="12.8" hidden="false" customHeight="false" outlineLevel="0" collapsed="false">
      <c r="C426" s="26"/>
      <c r="E426" s="26"/>
      <c r="H426" s="2"/>
      <c r="I426" s="26"/>
      <c r="J426" s="26"/>
      <c r="K426" s="26"/>
      <c r="O426" s="26"/>
      <c r="P426" s="26"/>
      <c r="Q426" s="26"/>
      <c r="R426" s="26"/>
      <c r="S426" s="26"/>
      <c r="T426" s="26"/>
      <c r="U426" s="26"/>
      <c r="W426" s="27"/>
      <c r="AE426" s="26"/>
      <c r="AF426" s="26"/>
      <c r="AG426" s="26"/>
      <c r="AH426" s="26"/>
      <c r="AI426" s="26"/>
      <c r="AJ426" s="26"/>
      <c r="AKX426" s="0"/>
      <c r="AKY426" s="0"/>
      <c r="AKZ426" s="0"/>
      <c r="ALA426" s="0"/>
      <c r="ALB426" s="0"/>
      <c r="ALC426" s="0"/>
      <c r="ALD426" s="0"/>
      <c r="ALE426" s="0"/>
      <c r="ALF426" s="0"/>
      <c r="ALG426" s="0"/>
      <c r="ALH426" s="0"/>
      <c r="ALI426" s="0"/>
      <c r="ALJ426" s="0"/>
      <c r="ALK426" s="0"/>
      <c r="ALL426" s="0"/>
      <c r="ALM426" s="0"/>
      <c r="ALN426" s="0"/>
      <c r="ALO426" s="0"/>
      <c r="ALP426" s="0"/>
      <c r="ALQ426" s="0"/>
      <c r="ALR426" s="0"/>
      <c r="ALS426" s="0"/>
      <c r="ALT426" s="0"/>
      <c r="ALU426" s="0"/>
      <c r="ALV426" s="0"/>
      <c r="ALW426" s="0"/>
      <c r="ALX426" s="0"/>
      <c r="ALY426" s="0"/>
      <c r="ALZ426" s="0"/>
      <c r="AMA426" s="0"/>
      <c r="AMB426" s="0"/>
      <c r="AMC426" s="0"/>
      <c r="AMD426" s="0"/>
      <c r="AME426" s="0"/>
      <c r="AMF426" s="0"/>
      <c r="AMG426" s="0"/>
      <c r="AMH426" s="0"/>
      <c r="AMI426" s="0"/>
      <c r="AMJ426" s="0"/>
    </row>
    <row r="427" s="14" customFormat="true" ht="12.8" hidden="false" customHeight="false" outlineLevel="0" collapsed="false">
      <c r="C427" s="26"/>
      <c r="E427" s="26"/>
      <c r="H427" s="2"/>
      <c r="I427" s="26"/>
      <c r="J427" s="26"/>
      <c r="K427" s="26"/>
      <c r="O427" s="26"/>
      <c r="P427" s="26"/>
      <c r="Q427" s="26"/>
      <c r="R427" s="26"/>
      <c r="S427" s="26"/>
      <c r="T427" s="26"/>
      <c r="U427" s="26"/>
      <c r="W427" s="27"/>
      <c r="AE427" s="26"/>
      <c r="AF427" s="26"/>
      <c r="AG427" s="26"/>
      <c r="AH427" s="26"/>
      <c r="AI427" s="26"/>
      <c r="AJ427" s="26"/>
      <c r="AKX427" s="0"/>
      <c r="AKY427" s="0"/>
      <c r="AKZ427" s="0"/>
      <c r="ALA427" s="0"/>
      <c r="ALB427" s="0"/>
      <c r="ALC427" s="0"/>
      <c r="ALD427" s="0"/>
      <c r="ALE427" s="0"/>
      <c r="ALF427" s="0"/>
      <c r="ALG427" s="0"/>
      <c r="ALH427" s="0"/>
      <c r="ALI427" s="0"/>
      <c r="ALJ427" s="0"/>
      <c r="ALK427" s="0"/>
      <c r="ALL427" s="0"/>
      <c r="ALM427" s="0"/>
      <c r="ALN427" s="0"/>
      <c r="ALO427" s="0"/>
      <c r="ALP427" s="0"/>
      <c r="ALQ427" s="0"/>
      <c r="ALR427" s="0"/>
      <c r="ALS427" s="0"/>
      <c r="ALT427" s="0"/>
      <c r="ALU427" s="0"/>
      <c r="ALV427" s="0"/>
      <c r="ALW427" s="0"/>
      <c r="ALX427" s="0"/>
      <c r="ALY427" s="0"/>
      <c r="ALZ427" s="0"/>
      <c r="AMA427" s="0"/>
      <c r="AMB427" s="0"/>
      <c r="AMC427" s="0"/>
      <c r="AMD427" s="0"/>
      <c r="AME427" s="0"/>
      <c r="AMF427" s="0"/>
      <c r="AMG427" s="0"/>
      <c r="AMH427" s="0"/>
      <c r="AMI427" s="0"/>
      <c r="AMJ427" s="0"/>
    </row>
    <row r="428" s="14" customFormat="true" ht="12.8" hidden="false" customHeight="false" outlineLevel="0" collapsed="false">
      <c r="C428" s="26"/>
      <c r="E428" s="26"/>
      <c r="H428" s="2"/>
      <c r="I428" s="26"/>
      <c r="J428" s="26"/>
      <c r="K428" s="26"/>
      <c r="O428" s="26"/>
      <c r="P428" s="26"/>
      <c r="Q428" s="26"/>
      <c r="R428" s="26"/>
      <c r="S428" s="26"/>
      <c r="T428" s="26"/>
      <c r="U428" s="26"/>
      <c r="W428" s="27"/>
      <c r="AE428" s="26"/>
      <c r="AF428" s="26"/>
      <c r="AG428" s="26"/>
      <c r="AH428" s="26"/>
      <c r="AI428" s="26"/>
      <c r="AJ428" s="26"/>
      <c r="AKX428" s="0"/>
      <c r="AKY428" s="0"/>
      <c r="AKZ428" s="0"/>
      <c r="ALA428" s="0"/>
      <c r="ALB428" s="0"/>
      <c r="ALC428" s="0"/>
      <c r="ALD428" s="0"/>
      <c r="ALE428" s="0"/>
      <c r="ALF428" s="0"/>
      <c r="ALG428" s="0"/>
      <c r="ALH428" s="0"/>
      <c r="ALI428" s="0"/>
      <c r="ALJ428" s="0"/>
      <c r="ALK428" s="0"/>
      <c r="ALL428" s="0"/>
      <c r="ALM428" s="0"/>
      <c r="ALN428" s="0"/>
      <c r="ALO428" s="0"/>
      <c r="ALP428" s="0"/>
      <c r="ALQ428" s="0"/>
      <c r="ALR428" s="0"/>
      <c r="ALS428" s="0"/>
      <c r="ALT428" s="0"/>
      <c r="ALU428" s="0"/>
      <c r="ALV428" s="0"/>
      <c r="ALW428" s="0"/>
      <c r="ALX428" s="0"/>
      <c r="ALY428" s="0"/>
      <c r="ALZ428" s="0"/>
      <c r="AMA428" s="0"/>
      <c r="AMB428" s="0"/>
      <c r="AMC428" s="0"/>
      <c r="AMD428" s="0"/>
      <c r="AME428" s="0"/>
      <c r="AMF428" s="0"/>
      <c r="AMG428" s="0"/>
      <c r="AMH428" s="0"/>
      <c r="AMI428" s="0"/>
      <c r="AMJ428" s="0"/>
    </row>
    <row r="429" s="14" customFormat="true" ht="12.8" hidden="false" customHeight="false" outlineLevel="0" collapsed="false">
      <c r="C429" s="26"/>
      <c r="E429" s="26"/>
      <c r="H429" s="2"/>
      <c r="I429" s="26"/>
      <c r="J429" s="26"/>
      <c r="K429" s="26"/>
      <c r="O429" s="26"/>
      <c r="P429" s="26"/>
      <c r="Q429" s="26"/>
      <c r="R429" s="26"/>
      <c r="S429" s="26"/>
      <c r="T429" s="26"/>
      <c r="U429" s="26"/>
      <c r="W429" s="27"/>
      <c r="AE429" s="26"/>
      <c r="AF429" s="26"/>
      <c r="AG429" s="26"/>
      <c r="AH429" s="26"/>
      <c r="AI429" s="26"/>
      <c r="AJ429" s="26"/>
      <c r="AKX429" s="0"/>
      <c r="AKY429" s="0"/>
      <c r="AKZ429" s="0"/>
      <c r="ALA429" s="0"/>
      <c r="ALB429" s="0"/>
      <c r="ALC429" s="0"/>
      <c r="ALD429" s="0"/>
      <c r="ALE429" s="0"/>
      <c r="ALF429" s="0"/>
      <c r="ALG429" s="0"/>
      <c r="ALH429" s="0"/>
      <c r="ALI429" s="0"/>
      <c r="ALJ429" s="0"/>
      <c r="ALK429" s="0"/>
      <c r="ALL429" s="0"/>
      <c r="ALM429" s="0"/>
      <c r="ALN429" s="0"/>
      <c r="ALO429" s="0"/>
      <c r="ALP429" s="0"/>
      <c r="ALQ429" s="0"/>
      <c r="ALR429" s="0"/>
      <c r="ALS429" s="0"/>
      <c r="ALT429" s="0"/>
      <c r="ALU429" s="0"/>
      <c r="ALV429" s="0"/>
      <c r="ALW429" s="0"/>
      <c r="ALX429" s="0"/>
      <c r="ALY429" s="0"/>
      <c r="ALZ429" s="0"/>
      <c r="AMA429" s="0"/>
      <c r="AMB429" s="0"/>
      <c r="AMC429" s="0"/>
      <c r="AMD429" s="0"/>
      <c r="AME429" s="0"/>
      <c r="AMF429" s="0"/>
      <c r="AMG429" s="0"/>
      <c r="AMH429" s="0"/>
      <c r="AMI429" s="0"/>
      <c r="AMJ429" s="0"/>
    </row>
    <row r="430" s="14" customFormat="true" ht="12.8" hidden="false" customHeight="false" outlineLevel="0" collapsed="false">
      <c r="C430" s="26"/>
      <c r="E430" s="26"/>
      <c r="H430" s="2"/>
      <c r="I430" s="26"/>
      <c r="J430" s="26"/>
      <c r="K430" s="26"/>
      <c r="O430" s="26"/>
      <c r="P430" s="26"/>
      <c r="Q430" s="26"/>
      <c r="R430" s="26"/>
      <c r="S430" s="26"/>
      <c r="T430" s="26"/>
      <c r="U430" s="26"/>
      <c r="W430" s="27"/>
      <c r="AE430" s="26"/>
      <c r="AF430" s="26"/>
      <c r="AG430" s="26"/>
      <c r="AH430" s="26"/>
      <c r="AI430" s="26"/>
      <c r="AJ430" s="26"/>
      <c r="AKX430" s="0"/>
      <c r="AKY430" s="0"/>
      <c r="AKZ430" s="0"/>
      <c r="ALA430" s="0"/>
      <c r="ALB430" s="0"/>
      <c r="ALC430" s="0"/>
      <c r="ALD430" s="0"/>
      <c r="ALE430" s="0"/>
      <c r="ALF430" s="0"/>
      <c r="ALG430" s="0"/>
      <c r="ALH430" s="0"/>
      <c r="ALI430" s="0"/>
      <c r="ALJ430" s="0"/>
      <c r="ALK430" s="0"/>
      <c r="ALL430" s="0"/>
      <c r="ALM430" s="0"/>
      <c r="ALN430" s="0"/>
      <c r="ALO430" s="0"/>
      <c r="ALP430" s="0"/>
      <c r="ALQ430" s="0"/>
      <c r="ALR430" s="0"/>
      <c r="ALS430" s="0"/>
      <c r="ALT430" s="0"/>
      <c r="ALU430" s="0"/>
      <c r="ALV430" s="0"/>
      <c r="ALW430" s="0"/>
      <c r="ALX430" s="0"/>
      <c r="ALY430" s="0"/>
      <c r="ALZ430" s="0"/>
      <c r="AMA430" s="0"/>
      <c r="AMB430" s="0"/>
      <c r="AMC430" s="0"/>
      <c r="AMD430" s="0"/>
      <c r="AME430" s="0"/>
      <c r="AMF430" s="0"/>
      <c r="AMG430" s="0"/>
      <c r="AMH430" s="0"/>
      <c r="AMI430" s="0"/>
      <c r="AMJ430" s="0"/>
    </row>
    <row r="431" s="14" customFormat="true" ht="12.8" hidden="false" customHeight="false" outlineLevel="0" collapsed="false">
      <c r="C431" s="26"/>
      <c r="E431" s="26"/>
      <c r="H431" s="2"/>
      <c r="I431" s="26"/>
      <c r="J431" s="26"/>
      <c r="K431" s="26"/>
      <c r="O431" s="26"/>
      <c r="P431" s="26"/>
      <c r="Q431" s="26"/>
      <c r="R431" s="26"/>
      <c r="S431" s="26"/>
      <c r="T431" s="26"/>
      <c r="U431" s="26"/>
      <c r="W431" s="27"/>
      <c r="AE431" s="26"/>
      <c r="AF431" s="26"/>
      <c r="AG431" s="26"/>
      <c r="AH431" s="26"/>
      <c r="AI431" s="26"/>
      <c r="AJ431" s="26"/>
      <c r="AKX431" s="0"/>
      <c r="AKY431" s="0"/>
      <c r="AKZ431" s="0"/>
      <c r="ALA431" s="0"/>
      <c r="ALB431" s="0"/>
      <c r="ALC431" s="0"/>
      <c r="ALD431" s="0"/>
      <c r="ALE431" s="0"/>
      <c r="ALF431" s="0"/>
      <c r="ALG431" s="0"/>
      <c r="ALH431" s="0"/>
      <c r="ALI431" s="0"/>
      <c r="ALJ431" s="0"/>
      <c r="ALK431" s="0"/>
      <c r="ALL431" s="0"/>
      <c r="ALM431" s="0"/>
      <c r="ALN431" s="0"/>
      <c r="ALO431" s="0"/>
      <c r="ALP431" s="0"/>
      <c r="ALQ431" s="0"/>
      <c r="ALR431" s="0"/>
      <c r="ALS431" s="0"/>
      <c r="ALT431" s="0"/>
      <c r="ALU431" s="0"/>
      <c r="ALV431" s="0"/>
      <c r="ALW431" s="0"/>
      <c r="ALX431" s="0"/>
      <c r="ALY431" s="0"/>
      <c r="ALZ431" s="0"/>
      <c r="AMA431" s="0"/>
      <c r="AMB431" s="0"/>
      <c r="AMC431" s="0"/>
      <c r="AMD431" s="0"/>
      <c r="AME431" s="0"/>
      <c r="AMF431" s="0"/>
      <c r="AMG431" s="0"/>
      <c r="AMH431" s="0"/>
      <c r="AMI431" s="0"/>
      <c r="AMJ431" s="0"/>
    </row>
    <row r="432" s="14" customFormat="true" ht="12.8" hidden="false" customHeight="false" outlineLevel="0" collapsed="false">
      <c r="C432" s="26"/>
      <c r="E432" s="26"/>
      <c r="H432" s="2"/>
      <c r="I432" s="26"/>
      <c r="J432" s="26"/>
      <c r="K432" s="26"/>
      <c r="O432" s="26"/>
      <c r="P432" s="26"/>
      <c r="Q432" s="26"/>
      <c r="R432" s="26"/>
      <c r="S432" s="26"/>
      <c r="T432" s="26"/>
      <c r="U432" s="26"/>
      <c r="W432" s="27"/>
      <c r="AE432" s="26"/>
      <c r="AF432" s="26"/>
      <c r="AG432" s="26"/>
      <c r="AH432" s="26"/>
      <c r="AI432" s="26"/>
      <c r="AJ432" s="26"/>
      <c r="AKX432" s="0"/>
      <c r="AKY432" s="0"/>
      <c r="AKZ432" s="0"/>
      <c r="ALA432" s="0"/>
      <c r="ALB432" s="0"/>
      <c r="ALC432" s="0"/>
      <c r="ALD432" s="0"/>
      <c r="ALE432" s="0"/>
      <c r="ALF432" s="0"/>
      <c r="ALG432" s="0"/>
      <c r="ALH432" s="0"/>
      <c r="ALI432" s="0"/>
      <c r="ALJ432" s="0"/>
      <c r="ALK432" s="0"/>
      <c r="ALL432" s="0"/>
      <c r="ALM432" s="0"/>
      <c r="ALN432" s="0"/>
      <c r="ALO432" s="0"/>
      <c r="ALP432" s="0"/>
      <c r="ALQ432" s="0"/>
      <c r="ALR432" s="0"/>
      <c r="ALS432" s="0"/>
      <c r="ALT432" s="0"/>
      <c r="ALU432" s="0"/>
      <c r="ALV432" s="0"/>
      <c r="ALW432" s="0"/>
      <c r="ALX432" s="0"/>
      <c r="ALY432" s="0"/>
      <c r="ALZ432" s="0"/>
      <c r="AMA432" s="0"/>
      <c r="AMB432" s="0"/>
      <c r="AMC432" s="0"/>
      <c r="AMD432" s="0"/>
      <c r="AME432" s="0"/>
      <c r="AMF432" s="0"/>
      <c r="AMG432" s="0"/>
      <c r="AMH432" s="0"/>
      <c r="AMI432" s="0"/>
      <c r="AMJ432" s="0"/>
    </row>
    <row r="433" s="14" customFormat="true" ht="12.8" hidden="false" customHeight="false" outlineLevel="0" collapsed="false">
      <c r="C433" s="26"/>
      <c r="E433" s="26"/>
      <c r="H433" s="2"/>
      <c r="I433" s="26"/>
      <c r="J433" s="26"/>
      <c r="K433" s="26"/>
      <c r="O433" s="26"/>
      <c r="P433" s="26"/>
      <c r="Q433" s="26"/>
      <c r="R433" s="26"/>
      <c r="S433" s="26"/>
      <c r="T433" s="26"/>
      <c r="U433" s="26"/>
      <c r="W433" s="27"/>
      <c r="AE433" s="26"/>
      <c r="AF433" s="26"/>
      <c r="AG433" s="26"/>
      <c r="AH433" s="26"/>
      <c r="AI433" s="26"/>
      <c r="AJ433" s="26"/>
      <c r="AKX433" s="0"/>
      <c r="AKY433" s="0"/>
      <c r="AKZ433" s="0"/>
      <c r="ALA433" s="0"/>
      <c r="ALB433" s="0"/>
      <c r="ALC433" s="0"/>
      <c r="ALD433" s="0"/>
      <c r="ALE433" s="0"/>
      <c r="ALF433" s="0"/>
      <c r="ALG433" s="0"/>
      <c r="ALH433" s="0"/>
      <c r="ALI433" s="0"/>
      <c r="ALJ433" s="0"/>
      <c r="ALK433" s="0"/>
      <c r="ALL433" s="0"/>
      <c r="ALM433" s="0"/>
      <c r="ALN433" s="0"/>
      <c r="ALO433" s="0"/>
      <c r="ALP433" s="0"/>
      <c r="ALQ433" s="0"/>
      <c r="ALR433" s="0"/>
      <c r="ALS433" s="0"/>
      <c r="ALT433" s="0"/>
      <c r="ALU433" s="0"/>
      <c r="ALV433" s="0"/>
      <c r="ALW433" s="0"/>
      <c r="ALX433" s="0"/>
      <c r="ALY433" s="0"/>
      <c r="ALZ433" s="0"/>
      <c r="AMA433" s="0"/>
      <c r="AMB433" s="0"/>
      <c r="AMC433" s="0"/>
      <c r="AMD433" s="0"/>
      <c r="AME433" s="0"/>
      <c r="AMF433" s="0"/>
      <c r="AMG433" s="0"/>
      <c r="AMH433" s="0"/>
      <c r="AMI433" s="0"/>
      <c r="AMJ433" s="0"/>
    </row>
    <row r="434" s="14" customFormat="true" ht="12.8" hidden="false" customHeight="false" outlineLevel="0" collapsed="false">
      <c r="C434" s="26"/>
      <c r="E434" s="26"/>
      <c r="H434" s="2"/>
      <c r="I434" s="26"/>
      <c r="J434" s="26"/>
      <c r="K434" s="26"/>
      <c r="O434" s="26"/>
      <c r="P434" s="26"/>
      <c r="Q434" s="26"/>
      <c r="R434" s="26"/>
      <c r="S434" s="26"/>
      <c r="T434" s="26"/>
      <c r="U434" s="26"/>
      <c r="W434" s="27"/>
      <c r="AE434" s="26"/>
      <c r="AF434" s="26"/>
      <c r="AG434" s="26"/>
      <c r="AH434" s="26"/>
      <c r="AI434" s="26"/>
      <c r="AJ434" s="26"/>
      <c r="AKX434" s="0"/>
      <c r="AKY434" s="0"/>
      <c r="AKZ434" s="0"/>
      <c r="ALA434" s="0"/>
      <c r="ALB434" s="0"/>
      <c r="ALC434" s="0"/>
      <c r="ALD434" s="0"/>
      <c r="ALE434" s="0"/>
      <c r="ALF434" s="0"/>
      <c r="ALG434" s="0"/>
      <c r="ALH434" s="0"/>
      <c r="ALI434" s="0"/>
      <c r="ALJ434" s="0"/>
      <c r="ALK434" s="0"/>
      <c r="ALL434" s="0"/>
      <c r="ALM434" s="0"/>
      <c r="ALN434" s="0"/>
      <c r="ALO434" s="0"/>
      <c r="ALP434" s="0"/>
      <c r="ALQ434" s="0"/>
      <c r="ALR434" s="0"/>
      <c r="ALS434" s="0"/>
      <c r="ALT434" s="0"/>
      <c r="ALU434" s="0"/>
      <c r="ALV434" s="0"/>
      <c r="ALW434" s="0"/>
      <c r="ALX434" s="0"/>
      <c r="ALY434" s="0"/>
      <c r="ALZ434" s="0"/>
      <c r="AMA434" s="0"/>
      <c r="AMB434" s="0"/>
      <c r="AMC434" s="0"/>
      <c r="AMD434" s="0"/>
      <c r="AME434" s="0"/>
      <c r="AMF434" s="0"/>
      <c r="AMG434" s="0"/>
      <c r="AMH434" s="0"/>
      <c r="AMI434" s="0"/>
      <c r="AMJ434" s="0"/>
    </row>
    <row r="435" s="14" customFormat="true" ht="12.8" hidden="false" customHeight="false" outlineLevel="0" collapsed="false">
      <c r="C435" s="26"/>
      <c r="E435" s="26"/>
      <c r="H435" s="2"/>
      <c r="I435" s="26"/>
      <c r="J435" s="26"/>
      <c r="K435" s="26"/>
      <c r="O435" s="26"/>
      <c r="P435" s="26"/>
      <c r="Q435" s="26"/>
      <c r="R435" s="26"/>
      <c r="S435" s="26"/>
      <c r="T435" s="26"/>
      <c r="U435" s="26"/>
      <c r="W435" s="27"/>
      <c r="AE435" s="26"/>
      <c r="AF435" s="26"/>
      <c r="AG435" s="26"/>
      <c r="AH435" s="26"/>
      <c r="AI435" s="26"/>
      <c r="AJ435" s="26"/>
      <c r="AKX435" s="0"/>
      <c r="AKY435" s="0"/>
      <c r="AKZ435" s="0"/>
      <c r="ALA435" s="0"/>
      <c r="ALB435" s="0"/>
      <c r="ALC435" s="0"/>
      <c r="ALD435" s="0"/>
      <c r="ALE435" s="0"/>
      <c r="ALF435" s="0"/>
      <c r="ALG435" s="0"/>
      <c r="ALH435" s="0"/>
      <c r="ALI435" s="0"/>
      <c r="ALJ435" s="0"/>
      <c r="ALK435" s="0"/>
      <c r="ALL435" s="0"/>
      <c r="ALM435" s="0"/>
      <c r="ALN435" s="0"/>
      <c r="ALO435" s="0"/>
      <c r="ALP435" s="0"/>
      <c r="ALQ435" s="0"/>
      <c r="ALR435" s="0"/>
      <c r="ALS435" s="0"/>
      <c r="ALT435" s="0"/>
      <c r="ALU435" s="0"/>
      <c r="ALV435" s="0"/>
      <c r="ALW435" s="0"/>
      <c r="ALX435" s="0"/>
      <c r="ALY435" s="0"/>
      <c r="ALZ435" s="0"/>
      <c r="AMA435" s="0"/>
      <c r="AMB435" s="0"/>
      <c r="AMC435" s="0"/>
      <c r="AMD435" s="0"/>
      <c r="AME435" s="0"/>
      <c r="AMF435" s="0"/>
      <c r="AMG435" s="0"/>
      <c r="AMH435" s="0"/>
      <c r="AMI435" s="0"/>
      <c r="AMJ435" s="0"/>
    </row>
    <row r="436" s="14" customFormat="true" ht="12.8" hidden="false" customHeight="false" outlineLevel="0" collapsed="false">
      <c r="C436" s="26"/>
      <c r="E436" s="26"/>
      <c r="H436" s="2"/>
      <c r="I436" s="26"/>
      <c r="J436" s="26"/>
      <c r="K436" s="26"/>
      <c r="O436" s="26"/>
      <c r="P436" s="26"/>
      <c r="Q436" s="26"/>
      <c r="R436" s="26"/>
      <c r="S436" s="26"/>
      <c r="T436" s="26"/>
      <c r="U436" s="26"/>
      <c r="W436" s="27"/>
      <c r="AE436" s="26"/>
      <c r="AF436" s="26"/>
      <c r="AG436" s="26"/>
      <c r="AH436" s="26"/>
      <c r="AI436" s="26"/>
      <c r="AJ436" s="26"/>
      <c r="AKX436" s="0"/>
      <c r="AKY436" s="0"/>
      <c r="AKZ436" s="0"/>
      <c r="ALA436" s="0"/>
      <c r="ALB436" s="0"/>
      <c r="ALC436" s="0"/>
      <c r="ALD436" s="0"/>
      <c r="ALE436" s="0"/>
      <c r="ALF436" s="0"/>
      <c r="ALG436" s="0"/>
      <c r="ALH436" s="0"/>
      <c r="ALI436" s="0"/>
      <c r="ALJ436" s="0"/>
      <c r="ALK436" s="0"/>
      <c r="ALL436" s="0"/>
      <c r="ALM436" s="0"/>
      <c r="ALN436" s="0"/>
      <c r="ALO436" s="0"/>
      <c r="ALP436" s="0"/>
      <c r="ALQ436" s="0"/>
      <c r="ALR436" s="0"/>
      <c r="ALS436" s="0"/>
      <c r="ALT436" s="0"/>
      <c r="ALU436" s="0"/>
      <c r="ALV436" s="0"/>
      <c r="ALW436" s="0"/>
      <c r="ALX436" s="0"/>
      <c r="ALY436" s="0"/>
      <c r="ALZ436" s="0"/>
      <c r="AMA436" s="0"/>
      <c r="AMB436" s="0"/>
      <c r="AMC436" s="0"/>
      <c r="AMD436" s="0"/>
      <c r="AME436" s="0"/>
      <c r="AMF436" s="0"/>
      <c r="AMG436" s="0"/>
      <c r="AMH436" s="0"/>
      <c r="AMI436" s="0"/>
      <c r="AMJ436" s="0"/>
    </row>
    <row r="437" s="14" customFormat="true" ht="12.8" hidden="false" customHeight="false" outlineLevel="0" collapsed="false">
      <c r="C437" s="26"/>
      <c r="E437" s="26"/>
      <c r="H437" s="2"/>
      <c r="I437" s="26"/>
      <c r="J437" s="26"/>
      <c r="K437" s="26"/>
      <c r="O437" s="26"/>
      <c r="P437" s="26"/>
      <c r="Q437" s="26"/>
      <c r="R437" s="26"/>
      <c r="S437" s="26"/>
      <c r="T437" s="26"/>
      <c r="U437" s="26"/>
      <c r="W437" s="27"/>
      <c r="AE437" s="26"/>
      <c r="AF437" s="26"/>
      <c r="AG437" s="26"/>
      <c r="AH437" s="26"/>
      <c r="AI437" s="26"/>
      <c r="AJ437" s="26"/>
      <c r="AKX437" s="0"/>
      <c r="AKY437" s="0"/>
      <c r="AKZ437" s="0"/>
      <c r="ALA437" s="0"/>
      <c r="ALB437" s="0"/>
      <c r="ALC437" s="0"/>
      <c r="ALD437" s="0"/>
      <c r="ALE437" s="0"/>
      <c r="ALF437" s="0"/>
      <c r="ALG437" s="0"/>
      <c r="ALH437" s="0"/>
      <c r="ALI437" s="0"/>
      <c r="ALJ437" s="0"/>
      <c r="ALK437" s="0"/>
      <c r="ALL437" s="0"/>
      <c r="ALM437" s="0"/>
      <c r="ALN437" s="0"/>
      <c r="ALO437" s="0"/>
      <c r="ALP437" s="0"/>
      <c r="ALQ437" s="0"/>
      <c r="ALR437" s="0"/>
      <c r="ALS437" s="0"/>
      <c r="ALT437" s="0"/>
      <c r="ALU437" s="0"/>
      <c r="ALV437" s="0"/>
      <c r="ALW437" s="0"/>
      <c r="ALX437" s="0"/>
      <c r="ALY437" s="0"/>
      <c r="ALZ437" s="0"/>
      <c r="AMA437" s="0"/>
      <c r="AMB437" s="0"/>
      <c r="AMC437" s="0"/>
      <c r="AMD437" s="0"/>
      <c r="AME437" s="0"/>
      <c r="AMF437" s="0"/>
      <c r="AMG437" s="0"/>
      <c r="AMH437" s="0"/>
      <c r="AMI437" s="0"/>
      <c r="AMJ437" s="0"/>
    </row>
    <row r="438" s="14" customFormat="true" ht="12.8" hidden="false" customHeight="false" outlineLevel="0" collapsed="false">
      <c r="C438" s="26"/>
      <c r="E438" s="26"/>
      <c r="H438" s="2"/>
      <c r="I438" s="26"/>
      <c r="J438" s="26"/>
      <c r="K438" s="26"/>
      <c r="O438" s="26"/>
      <c r="P438" s="26"/>
      <c r="Q438" s="26"/>
      <c r="R438" s="26"/>
      <c r="S438" s="26"/>
      <c r="T438" s="26"/>
      <c r="U438" s="26"/>
      <c r="W438" s="27"/>
      <c r="AE438" s="26"/>
      <c r="AF438" s="26"/>
      <c r="AG438" s="26"/>
      <c r="AH438" s="26"/>
      <c r="AI438" s="26"/>
      <c r="AJ438" s="26"/>
      <c r="AKX438" s="0"/>
      <c r="AKY438" s="0"/>
      <c r="AKZ438" s="0"/>
      <c r="ALA438" s="0"/>
      <c r="ALB438" s="0"/>
      <c r="ALC438" s="0"/>
      <c r="ALD438" s="0"/>
      <c r="ALE438" s="0"/>
      <c r="ALF438" s="0"/>
      <c r="ALG438" s="0"/>
      <c r="ALH438" s="0"/>
      <c r="ALI438" s="0"/>
      <c r="ALJ438" s="0"/>
      <c r="ALK438" s="0"/>
      <c r="ALL438" s="0"/>
      <c r="ALM438" s="0"/>
      <c r="ALN438" s="0"/>
      <c r="ALO438" s="0"/>
      <c r="ALP438" s="0"/>
      <c r="ALQ438" s="0"/>
      <c r="ALR438" s="0"/>
      <c r="ALS438" s="0"/>
      <c r="ALT438" s="0"/>
      <c r="ALU438" s="0"/>
      <c r="ALV438" s="0"/>
      <c r="ALW438" s="0"/>
      <c r="ALX438" s="0"/>
      <c r="ALY438" s="0"/>
      <c r="ALZ438" s="0"/>
      <c r="AMA438" s="0"/>
      <c r="AMB438" s="0"/>
      <c r="AMC438" s="0"/>
      <c r="AMD438" s="0"/>
      <c r="AME438" s="0"/>
      <c r="AMF438" s="0"/>
      <c r="AMG438" s="0"/>
      <c r="AMH438" s="0"/>
      <c r="AMI438" s="0"/>
      <c r="AMJ438" s="0"/>
    </row>
    <row r="439" s="14" customFormat="true" ht="12.8" hidden="false" customHeight="false" outlineLevel="0" collapsed="false">
      <c r="C439" s="26"/>
      <c r="E439" s="26"/>
      <c r="H439" s="2"/>
      <c r="I439" s="26"/>
      <c r="J439" s="26"/>
      <c r="K439" s="26"/>
      <c r="O439" s="26"/>
      <c r="P439" s="26"/>
      <c r="Q439" s="26"/>
      <c r="R439" s="26"/>
      <c r="S439" s="26"/>
      <c r="T439" s="26"/>
      <c r="U439" s="26"/>
      <c r="W439" s="27"/>
      <c r="AE439" s="26"/>
      <c r="AF439" s="26"/>
      <c r="AG439" s="26"/>
      <c r="AH439" s="26"/>
      <c r="AI439" s="26"/>
      <c r="AJ439" s="26"/>
      <c r="AKX439" s="0"/>
      <c r="AKY439" s="0"/>
      <c r="AKZ439" s="0"/>
      <c r="ALA439" s="0"/>
      <c r="ALB439" s="0"/>
      <c r="ALC439" s="0"/>
      <c r="ALD439" s="0"/>
      <c r="ALE439" s="0"/>
      <c r="ALF439" s="0"/>
      <c r="ALG439" s="0"/>
      <c r="ALH439" s="0"/>
      <c r="ALI439" s="0"/>
      <c r="ALJ439" s="0"/>
      <c r="ALK439" s="0"/>
      <c r="ALL439" s="0"/>
      <c r="ALM439" s="0"/>
      <c r="ALN439" s="0"/>
      <c r="ALO439" s="0"/>
      <c r="ALP439" s="0"/>
      <c r="ALQ439" s="0"/>
      <c r="ALR439" s="0"/>
      <c r="ALS439" s="0"/>
      <c r="ALT439" s="0"/>
      <c r="ALU439" s="0"/>
      <c r="ALV439" s="0"/>
      <c r="ALW439" s="0"/>
      <c r="ALX439" s="0"/>
      <c r="ALY439" s="0"/>
      <c r="ALZ439" s="0"/>
      <c r="AMA439" s="0"/>
      <c r="AMB439" s="0"/>
      <c r="AMC439" s="0"/>
      <c r="AMD439" s="0"/>
      <c r="AME439" s="0"/>
      <c r="AMF439" s="0"/>
      <c r="AMG439" s="0"/>
      <c r="AMH439" s="0"/>
      <c r="AMI439" s="0"/>
      <c r="AMJ439" s="0"/>
    </row>
    <row r="440" s="14" customFormat="true" ht="12.8" hidden="false" customHeight="false" outlineLevel="0" collapsed="false">
      <c r="C440" s="26"/>
      <c r="E440" s="26"/>
      <c r="H440" s="2"/>
      <c r="I440" s="26"/>
      <c r="J440" s="26"/>
      <c r="K440" s="26"/>
      <c r="O440" s="26"/>
      <c r="P440" s="26"/>
      <c r="Q440" s="26"/>
      <c r="R440" s="26"/>
      <c r="S440" s="26"/>
      <c r="T440" s="26"/>
      <c r="U440" s="26"/>
      <c r="W440" s="27"/>
      <c r="AE440" s="26"/>
      <c r="AF440" s="26"/>
      <c r="AG440" s="26"/>
      <c r="AH440" s="26"/>
      <c r="AI440" s="26"/>
      <c r="AJ440" s="26"/>
      <c r="AKX440" s="0"/>
      <c r="AKY440" s="0"/>
      <c r="AKZ440" s="0"/>
      <c r="ALA440" s="0"/>
      <c r="ALB440" s="0"/>
      <c r="ALC440" s="0"/>
      <c r="ALD440" s="0"/>
      <c r="ALE440" s="0"/>
      <c r="ALF440" s="0"/>
      <c r="ALG440" s="0"/>
      <c r="ALH440" s="0"/>
      <c r="ALI440" s="0"/>
      <c r="ALJ440" s="0"/>
      <c r="ALK440" s="0"/>
      <c r="ALL440" s="0"/>
      <c r="ALM440" s="0"/>
      <c r="ALN440" s="0"/>
      <c r="ALO440" s="0"/>
      <c r="ALP440" s="0"/>
      <c r="ALQ440" s="0"/>
      <c r="ALR440" s="0"/>
      <c r="ALS440" s="0"/>
      <c r="ALT440" s="0"/>
      <c r="ALU440" s="0"/>
      <c r="ALV440" s="0"/>
      <c r="ALW440" s="0"/>
      <c r="ALX440" s="0"/>
      <c r="ALY440" s="0"/>
      <c r="ALZ440" s="0"/>
      <c r="AMA440" s="0"/>
      <c r="AMB440" s="0"/>
      <c r="AMC440" s="0"/>
      <c r="AMD440" s="0"/>
      <c r="AME440" s="0"/>
      <c r="AMF440" s="0"/>
      <c r="AMG440" s="0"/>
      <c r="AMH440" s="0"/>
      <c r="AMI440" s="0"/>
      <c r="AMJ440" s="0"/>
    </row>
    <row r="441" s="14" customFormat="true" ht="12.8" hidden="false" customHeight="false" outlineLevel="0" collapsed="false">
      <c r="C441" s="26"/>
      <c r="E441" s="26"/>
      <c r="H441" s="2"/>
      <c r="I441" s="26"/>
      <c r="J441" s="26"/>
      <c r="K441" s="26"/>
      <c r="O441" s="26"/>
      <c r="P441" s="26"/>
      <c r="Q441" s="26"/>
      <c r="R441" s="26"/>
      <c r="S441" s="26"/>
      <c r="T441" s="26"/>
      <c r="U441" s="26"/>
      <c r="W441" s="27"/>
      <c r="AE441" s="26"/>
      <c r="AF441" s="26"/>
      <c r="AG441" s="26"/>
      <c r="AH441" s="26"/>
      <c r="AI441" s="26"/>
      <c r="AJ441" s="26"/>
      <c r="AKX441" s="0"/>
      <c r="AKY441" s="0"/>
      <c r="AKZ441" s="0"/>
      <c r="ALA441" s="0"/>
      <c r="ALB441" s="0"/>
      <c r="ALC441" s="0"/>
      <c r="ALD441" s="0"/>
      <c r="ALE441" s="0"/>
      <c r="ALF441" s="0"/>
      <c r="ALG441" s="0"/>
      <c r="ALH441" s="0"/>
      <c r="ALI441" s="0"/>
      <c r="ALJ441" s="0"/>
      <c r="ALK441" s="0"/>
      <c r="ALL441" s="0"/>
      <c r="ALM441" s="0"/>
      <c r="ALN441" s="0"/>
      <c r="ALO441" s="0"/>
      <c r="ALP441" s="0"/>
      <c r="ALQ441" s="0"/>
      <c r="ALR441" s="0"/>
      <c r="ALS441" s="0"/>
      <c r="ALT441" s="0"/>
      <c r="ALU441" s="0"/>
      <c r="ALV441" s="0"/>
      <c r="ALW441" s="0"/>
      <c r="ALX441" s="0"/>
      <c r="ALY441" s="0"/>
      <c r="ALZ441" s="0"/>
      <c r="AMA441" s="0"/>
      <c r="AMB441" s="0"/>
      <c r="AMC441" s="0"/>
      <c r="AMD441" s="0"/>
      <c r="AME441" s="0"/>
      <c r="AMF441" s="0"/>
      <c r="AMG441" s="0"/>
      <c r="AMH441" s="0"/>
      <c r="AMI441" s="0"/>
      <c r="AMJ441" s="0"/>
    </row>
    <row r="442" s="14" customFormat="true" ht="12.8" hidden="false" customHeight="false" outlineLevel="0" collapsed="false">
      <c r="C442" s="26"/>
      <c r="E442" s="26"/>
      <c r="H442" s="2"/>
      <c r="I442" s="26"/>
      <c r="J442" s="26"/>
      <c r="K442" s="26"/>
      <c r="O442" s="26"/>
      <c r="P442" s="26"/>
      <c r="Q442" s="26"/>
      <c r="R442" s="26"/>
      <c r="S442" s="26"/>
      <c r="T442" s="26"/>
      <c r="U442" s="26"/>
      <c r="W442" s="27"/>
      <c r="AE442" s="26"/>
      <c r="AF442" s="26"/>
      <c r="AG442" s="26"/>
      <c r="AH442" s="26"/>
      <c r="AI442" s="26"/>
      <c r="AJ442" s="26"/>
      <c r="AKX442" s="0"/>
      <c r="AKY442" s="0"/>
      <c r="AKZ442" s="0"/>
      <c r="ALA442" s="0"/>
      <c r="ALB442" s="0"/>
      <c r="ALC442" s="0"/>
      <c r="ALD442" s="0"/>
      <c r="ALE442" s="0"/>
      <c r="ALF442" s="0"/>
      <c r="ALG442" s="0"/>
      <c r="ALH442" s="0"/>
      <c r="ALI442" s="0"/>
      <c r="ALJ442" s="0"/>
      <c r="ALK442" s="0"/>
      <c r="ALL442" s="0"/>
      <c r="ALM442" s="0"/>
      <c r="ALN442" s="0"/>
      <c r="ALO442" s="0"/>
      <c r="ALP442" s="0"/>
      <c r="ALQ442" s="0"/>
      <c r="ALR442" s="0"/>
      <c r="ALS442" s="0"/>
      <c r="ALT442" s="0"/>
      <c r="ALU442" s="0"/>
      <c r="ALV442" s="0"/>
      <c r="ALW442" s="0"/>
      <c r="ALX442" s="0"/>
      <c r="ALY442" s="0"/>
      <c r="ALZ442" s="0"/>
      <c r="AMA442" s="0"/>
      <c r="AMB442" s="0"/>
      <c r="AMC442" s="0"/>
      <c r="AMD442" s="0"/>
      <c r="AME442" s="0"/>
      <c r="AMF442" s="0"/>
      <c r="AMG442" s="0"/>
      <c r="AMH442" s="0"/>
      <c r="AMI442" s="0"/>
      <c r="AMJ442" s="0"/>
    </row>
    <row r="443" s="14" customFormat="true" ht="12.8" hidden="false" customHeight="false" outlineLevel="0" collapsed="false">
      <c r="C443" s="26"/>
      <c r="E443" s="26"/>
      <c r="H443" s="2"/>
      <c r="I443" s="26"/>
      <c r="J443" s="26"/>
      <c r="K443" s="26"/>
      <c r="O443" s="26"/>
      <c r="P443" s="26"/>
      <c r="Q443" s="26"/>
      <c r="R443" s="26"/>
      <c r="S443" s="26"/>
      <c r="T443" s="26"/>
      <c r="U443" s="26"/>
      <c r="W443" s="27"/>
      <c r="AE443" s="26"/>
      <c r="AF443" s="26"/>
      <c r="AG443" s="26"/>
      <c r="AH443" s="26"/>
      <c r="AI443" s="26"/>
      <c r="AJ443" s="26"/>
      <c r="AKX443" s="0"/>
      <c r="AKY443" s="0"/>
      <c r="AKZ443" s="0"/>
      <c r="ALA443" s="0"/>
      <c r="ALB443" s="0"/>
      <c r="ALC443" s="0"/>
      <c r="ALD443" s="0"/>
      <c r="ALE443" s="0"/>
      <c r="ALF443" s="0"/>
      <c r="ALG443" s="0"/>
      <c r="ALH443" s="0"/>
      <c r="ALI443" s="0"/>
      <c r="ALJ443" s="0"/>
      <c r="ALK443" s="0"/>
      <c r="ALL443" s="0"/>
      <c r="ALM443" s="0"/>
      <c r="ALN443" s="0"/>
      <c r="ALO443" s="0"/>
      <c r="ALP443" s="0"/>
      <c r="ALQ443" s="0"/>
      <c r="ALR443" s="0"/>
      <c r="ALS443" s="0"/>
      <c r="ALT443" s="0"/>
      <c r="ALU443" s="0"/>
      <c r="ALV443" s="0"/>
      <c r="ALW443" s="0"/>
      <c r="ALX443" s="0"/>
      <c r="ALY443" s="0"/>
      <c r="ALZ443" s="0"/>
      <c r="AMA443" s="0"/>
      <c r="AMB443" s="0"/>
      <c r="AMC443" s="0"/>
      <c r="AMD443" s="0"/>
      <c r="AME443" s="0"/>
      <c r="AMF443" s="0"/>
      <c r="AMG443" s="0"/>
      <c r="AMH443" s="0"/>
      <c r="AMI443" s="0"/>
      <c r="AMJ443" s="0"/>
    </row>
    <row r="444" s="14" customFormat="true" ht="12.8" hidden="false" customHeight="false" outlineLevel="0" collapsed="false">
      <c r="C444" s="26"/>
      <c r="E444" s="26"/>
      <c r="H444" s="2"/>
      <c r="I444" s="26"/>
      <c r="J444" s="26"/>
      <c r="K444" s="26"/>
      <c r="O444" s="26"/>
      <c r="P444" s="26"/>
      <c r="Q444" s="26"/>
      <c r="R444" s="26"/>
      <c r="S444" s="26"/>
      <c r="T444" s="26"/>
      <c r="U444" s="26"/>
      <c r="W444" s="27"/>
      <c r="AE444" s="26"/>
      <c r="AF444" s="26"/>
      <c r="AG444" s="26"/>
      <c r="AH444" s="26"/>
      <c r="AI444" s="26"/>
      <c r="AJ444" s="26"/>
      <c r="AKX444" s="0"/>
      <c r="AKY444" s="0"/>
      <c r="AKZ444" s="0"/>
      <c r="ALA444" s="0"/>
      <c r="ALB444" s="0"/>
      <c r="ALC444" s="0"/>
      <c r="ALD444" s="0"/>
      <c r="ALE444" s="0"/>
      <c r="ALF444" s="0"/>
      <c r="ALG444" s="0"/>
      <c r="ALH444" s="0"/>
      <c r="ALI444" s="0"/>
      <c r="ALJ444" s="0"/>
      <c r="ALK444" s="0"/>
      <c r="ALL444" s="0"/>
      <c r="ALM444" s="0"/>
      <c r="ALN444" s="0"/>
      <c r="ALO444" s="0"/>
      <c r="ALP444" s="0"/>
      <c r="ALQ444" s="0"/>
      <c r="ALR444" s="0"/>
      <c r="ALS444" s="0"/>
      <c r="ALT444" s="0"/>
      <c r="ALU444" s="0"/>
      <c r="ALV444" s="0"/>
      <c r="ALW444" s="0"/>
      <c r="ALX444" s="0"/>
      <c r="ALY444" s="0"/>
      <c r="ALZ444" s="0"/>
      <c r="AMA444" s="0"/>
      <c r="AMB444" s="0"/>
      <c r="AMC444" s="0"/>
      <c r="AMD444" s="0"/>
      <c r="AME444" s="0"/>
      <c r="AMF444" s="0"/>
      <c r="AMG444" s="0"/>
      <c r="AMH444" s="0"/>
      <c r="AMI444" s="0"/>
      <c r="AMJ444" s="0"/>
    </row>
    <row r="445" s="14" customFormat="true" ht="12.8" hidden="false" customHeight="false" outlineLevel="0" collapsed="false">
      <c r="C445" s="26"/>
      <c r="E445" s="26"/>
      <c r="H445" s="2"/>
      <c r="I445" s="26"/>
      <c r="J445" s="26"/>
      <c r="K445" s="26"/>
      <c r="O445" s="26"/>
      <c r="P445" s="26"/>
      <c r="Q445" s="26"/>
      <c r="R445" s="26"/>
      <c r="S445" s="26"/>
      <c r="T445" s="26"/>
      <c r="U445" s="26"/>
      <c r="W445" s="27"/>
      <c r="AE445" s="26"/>
      <c r="AF445" s="26"/>
      <c r="AG445" s="26"/>
      <c r="AH445" s="26"/>
      <c r="AI445" s="26"/>
      <c r="AJ445" s="26"/>
      <c r="AKX445" s="0"/>
      <c r="AKY445" s="0"/>
      <c r="AKZ445" s="0"/>
      <c r="ALA445" s="0"/>
      <c r="ALB445" s="0"/>
      <c r="ALC445" s="0"/>
      <c r="ALD445" s="0"/>
      <c r="ALE445" s="0"/>
      <c r="ALF445" s="0"/>
      <c r="ALG445" s="0"/>
      <c r="ALH445" s="0"/>
      <c r="ALI445" s="0"/>
      <c r="ALJ445" s="0"/>
      <c r="ALK445" s="0"/>
      <c r="ALL445" s="0"/>
      <c r="ALM445" s="0"/>
      <c r="ALN445" s="0"/>
      <c r="ALO445" s="0"/>
      <c r="ALP445" s="0"/>
      <c r="ALQ445" s="0"/>
      <c r="ALR445" s="0"/>
      <c r="ALS445" s="0"/>
      <c r="ALT445" s="0"/>
      <c r="ALU445" s="0"/>
      <c r="ALV445" s="0"/>
      <c r="ALW445" s="0"/>
      <c r="ALX445" s="0"/>
      <c r="ALY445" s="0"/>
      <c r="ALZ445" s="0"/>
      <c r="AMA445" s="0"/>
      <c r="AMB445" s="0"/>
      <c r="AMC445" s="0"/>
      <c r="AMD445" s="0"/>
      <c r="AME445" s="0"/>
      <c r="AMF445" s="0"/>
      <c r="AMG445" s="0"/>
      <c r="AMH445" s="0"/>
      <c r="AMI445" s="0"/>
      <c r="AMJ445" s="0"/>
    </row>
    <row r="446" s="14" customFormat="true" ht="12.8" hidden="false" customHeight="false" outlineLevel="0" collapsed="false">
      <c r="C446" s="26"/>
      <c r="E446" s="26"/>
      <c r="H446" s="2"/>
      <c r="I446" s="26"/>
      <c r="J446" s="26"/>
      <c r="K446" s="26"/>
      <c r="O446" s="26"/>
      <c r="P446" s="26"/>
      <c r="Q446" s="26"/>
      <c r="R446" s="26"/>
      <c r="S446" s="26"/>
      <c r="T446" s="26"/>
      <c r="U446" s="26"/>
      <c r="W446" s="27"/>
      <c r="AE446" s="26"/>
      <c r="AF446" s="26"/>
      <c r="AG446" s="26"/>
      <c r="AH446" s="26"/>
      <c r="AI446" s="26"/>
      <c r="AJ446" s="26"/>
      <c r="AKX446" s="0"/>
      <c r="AKY446" s="0"/>
      <c r="AKZ446" s="0"/>
      <c r="ALA446" s="0"/>
      <c r="ALB446" s="0"/>
      <c r="ALC446" s="0"/>
      <c r="ALD446" s="0"/>
      <c r="ALE446" s="0"/>
      <c r="ALF446" s="0"/>
      <c r="ALG446" s="0"/>
      <c r="ALH446" s="0"/>
      <c r="ALI446" s="0"/>
      <c r="ALJ446" s="0"/>
      <c r="ALK446" s="0"/>
      <c r="ALL446" s="0"/>
      <c r="ALM446" s="0"/>
      <c r="ALN446" s="0"/>
      <c r="ALO446" s="0"/>
      <c r="ALP446" s="0"/>
      <c r="ALQ446" s="0"/>
      <c r="ALR446" s="0"/>
      <c r="ALS446" s="0"/>
      <c r="ALT446" s="0"/>
      <c r="ALU446" s="0"/>
      <c r="ALV446" s="0"/>
      <c r="ALW446" s="0"/>
      <c r="ALX446" s="0"/>
      <c r="ALY446" s="0"/>
      <c r="ALZ446" s="0"/>
      <c r="AMA446" s="0"/>
      <c r="AMB446" s="0"/>
      <c r="AMC446" s="0"/>
      <c r="AMD446" s="0"/>
      <c r="AME446" s="0"/>
      <c r="AMF446" s="0"/>
      <c r="AMG446" s="0"/>
      <c r="AMH446" s="0"/>
      <c r="AMI446" s="0"/>
      <c r="AMJ446" s="0"/>
    </row>
    <row r="447" s="14" customFormat="true" ht="12.8" hidden="false" customHeight="false" outlineLevel="0" collapsed="false">
      <c r="C447" s="26"/>
      <c r="E447" s="26"/>
      <c r="H447" s="2"/>
      <c r="I447" s="26"/>
      <c r="J447" s="26"/>
      <c r="K447" s="26"/>
      <c r="O447" s="26"/>
      <c r="P447" s="26"/>
      <c r="Q447" s="26"/>
      <c r="R447" s="26"/>
      <c r="S447" s="26"/>
      <c r="T447" s="26"/>
      <c r="U447" s="26"/>
      <c r="W447" s="27"/>
      <c r="AE447" s="26"/>
      <c r="AF447" s="26"/>
      <c r="AG447" s="26"/>
      <c r="AH447" s="26"/>
      <c r="AI447" s="26"/>
      <c r="AJ447" s="26"/>
      <c r="AKX447" s="0"/>
      <c r="AKY447" s="0"/>
      <c r="AKZ447" s="0"/>
      <c r="ALA447" s="0"/>
      <c r="ALB447" s="0"/>
      <c r="ALC447" s="0"/>
      <c r="ALD447" s="0"/>
      <c r="ALE447" s="0"/>
      <c r="ALF447" s="0"/>
      <c r="ALG447" s="0"/>
      <c r="ALH447" s="0"/>
      <c r="ALI447" s="0"/>
      <c r="ALJ447" s="0"/>
      <c r="ALK447" s="0"/>
      <c r="ALL447" s="0"/>
      <c r="ALM447" s="0"/>
      <c r="ALN447" s="0"/>
      <c r="ALO447" s="0"/>
      <c r="ALP447" s="0"/>
      <c r="ALQ447" s="0"/>
      <c r="ALR447" s="0"/>
      <c r="ALS447" s="0"/>
      <c r="ALT447" s="0"/>
      <c r="ALU447" s="0"/>
      <c r="ALV447" s="0"/>
      <c r="ALW447" s="0"/>
      <c r="ALX447" s="0"/>
      <c r="ALY447" s="0"/>
      <c r="ALZ447" s="0"/>
      <c r="AMA447" s="0"/>
      <c r="AMB447" s="0"/>
      <c r="AMC447" s="0"/>
      <c r="AMD447" s="0"/>
      <c r="AME447" s="0"/>
      <c r="AMF447" s="0"/>
      <c r="AMG447" s="0"/>
      <c r="AMH447" s="0"/>
      <c r="AMI447" s="0"/>
      <c r="AMJ447" s="0"/>
    </row>
    <row r="448" s="14" customFormat="true" ht="12.8" hidden="false" customHeight="false" outlineLevel="0" collapsed="false">
      <c r="C448" s="26"/>
      <c r="E448" s="26"/>
      <c r="H448" s="2"/>
      <c r="I448" s="26"/>
      <c r="J448" s="26"/>
      <c r="K448" s="26"/>
      <c r="O448" s="26"/>
      <c r="P448" s="26"/>
      <c r="Q448" s="26"/>
      <c r="R448" s="26"/>
      <c r="S448" s="26"/>
      <c r="T448" s="26"/>
      <c r="U448" s="26"/>
      <c r="W448" s="27"/>
      <c r="AE448" s="26"/>
      <c r="AF448" s="26"/>
      <c r="AG448" s="26"/>
      <c r="AH448" s="26"/>
      <c r="AI448" s="26"/>
      <c r="AJ448" s="26"/>
      <c r="AKX448" s="0"/>
      <c r="AKY448" s="0"/>
      <c r="AKZ448" s="0"/>
      <c r="ALA448" s="0"/>
      <c r="ALB448" s="0"/>
      <c r="ALC448" s="0"/>
      <c r="ALD448" s="0"/>
      <c r="ALE448" s="0"/>
      <c r="ALF448" s="0"/>
      <c r="ALG448" s="0"/>
      <c r="ALH448" s="0"/>
      <c r="ALI448" s="0"/>
      <c r="ALJ448" s="0"/>
      <c r="ALK448" s="0"/>
      <c r="ALL448" s="0"/>
      <c r="ALM448" s="0"/>
      <c r="ALN448" s="0"/>
      <c r="ALO448" s="0"/>
      <c r="ALP448" s="0"/>
      <c r="ALQ448" s="0"/>
      <c r="ALR448" s="0"/>
      <c r="ALS448" s="0"/>
      <c r="ALT448" s="0"/>
      <c r="ALU448" s="0"/>
      <c r="ALV448" s="0"/>
      <c r="ALW448" s="0"/>
      <c r="ALX448" s="0"/>
      <c r="ALY448" s="0"/>
      <c r="ALZ448" s="0"/>
      <c r="AMA448" s="0"/>
      <c r="AMB448" s="0"/>
      <c r="AMC448" s="0"/>
      <c r="AMD448" s="0"/>
      <c r="AME448" s="0"/>
      <c r="AMF448" s="0"/>
      <c r="AMG448" s="0"/>
      <c r="AMH448" s="0"/>
      <c r="AMI448" s="0"/>
      <c r="AMJ448" s="0"/>
    </row>
    <row r="449" s="14" customFormat="true" ht="12.8" hidden="false" customHeight="false" outlineLevel="0" collapsed="false">
      <c r="C449" s="26"/>
      <c r="E449" s="26"/>
      <c r="H449" s="2"/>
      <c r="I449" s="26"/>
      <c r="J449" s="26"/>
      <c r="K449" s="26"/>
      <c r="O449" s="26"/>
      <c r="P449" s="26"/>
      <c r="Q449" s="26"/>
      <c r="R449" s="26"/>
      <c r="S449" s="26"/>
      <c r="T449" s="26"/>
      <c r="U449" s="26"/>
      <c r="W449" s="27"/>
      <c r="AE449" s="26"/>
      <c r="AF449" s="26"/>
      <c r="AG449" s="26"/>
      <c r="AH449" s="26"/>
      <c r="AI449" s="26"/>
      <c r="AJ449" s="26"/>
      <c r="AKX449" s="0"/>
      <c r="AKY449" s="0"/>
      <c r="AKZ449" s="0"/>
      <c r="ALA449" s="0"/>
      <c r="ALB449" s="0"/>
      <c r="ALC449" s="0"/>
      <c r="ALD449" s="0"/>
      <c r="ALE449" s="0"/>
      <c r="ALF449" s="0"/>
      <c r="ALG449" s="0"/>
      <c r="ALH449" s="0"/>
      <c r="ALI449" s="0"/>
      <c r="ALJ449" s="0"/>
      <c r="ALK449" s="0"/>
      <c r="ALL449" s="0"/>
      <c r="ALM449" s="0"/>
      <c r="ALN449" s="0"/>
      <c r="ALO449" s="0"/>
      <c r="ALP449" s="0"/>
      <c r="ALQ449" s="0"/>
      <c r="ALR449" s="0"/>
      <c r="ALS449" s="0"/>
      <c r="ALT449" s="0"/>
      <c r="ALU449" s="0"/>
      <c r="ALV449" s="0"/>
      <c r="ALW449" s="0"/>
      <c r="ALX449" s="0"/>
      <c r="ALY449" s="0"/>
      <c r="ALZ449" s="0"/>
      <c r="AMA449" s="0"/>
      <c r="AMB449" s="0"/>
      <c r="AMC449" s="0"/>
      <c r="AMD449" s="0"/>
      <c r="AME449" s="0"/>
      <c r="AMF449" s="0"/>
      <c r="AMG449" s="0"/>
      <c r="AMH449" s="0"/>
      <c r="AMI449" s="0"/>
      <c r="AMJ449" s="0"/>
    </row>
    <row r="450" s="14" customFormat="true" ht="12.8" hidden="false" customHeight="false" outlineLevel="0" collapsed="false">
      <c r="C450" s="26"/>
      <c r="E450" s="26"/>
      <c r="H450" s="2"/>
      <c r="I450" s="26"/>
      <c r="J450" s="26"/>
      <c r="K450" s="26"/>
      <c r="O450" s="26"/>
      <c r="P450" s="26"/>
      <c r="Q450" s="26"/>
      <c r="R450" s="26"/>
      <c r="S450" s="26"/>
      <c r="T450" s="26"/>
      <c r="U450" s="26"/>
      <c r="W450" s="27"/>
      <c r="AE450" s="26"/>
      <c r="AF450" s="26"/>
      <c r="AG450" s="26"/>
      <c r="AH450" s="26"/>
      <c r="AI450" s="26"/>
      <c r="AJ450" s="26"/>
      <c r="AKX450" s="0"/>
      <c r="AKY450" s="0"/>
      <c r="AKZ450" s="0"/>
      <c r="ALA450" s="0"/>
      <c r="ALB450" s="0"/>
      <c r="ALC450" s="0"/>
      <c r="ALD450" s="0"/>
      <c r="ALE450" s="0"/>
      <c r="ALF450" s="0"/>
      <c r="ALG450" s="0"/>
      <c r="ALH450" s="0"/>
      <c r="ALI450" s="0"/>
      <c r="ALJ450" s="0"/>
      <c r="ALK450" s="0"/>
      <c r="ALL450" s="0"/>
      <c r="ALM450" s="0"/>
      <c r="ALN450" s="0"/>
      <c r="ALO450" s="0"/>
      <c r="ALP450" s="0"/>
      <c r="ALQ450" s="0"/>
      <c r="ALR450" s="0"/>
      <c r="ALS450" s="0"/>
      <c r="ALT450" s="0"/>
      <c r="ALU450" s="0"/>
      <c r="ALV450" s="0"/>
      <c r="ALW450" s="0"/>
      <c r="ALX450" s="0"/>
      <c r="ALY450" s="0"/>
      <c r="ALZ450" s="0"/>
      <c r="AMA450" s="0"/>
      <c r="AMB450" s="0"/>
      <c r="AMC450" s="0"/>
      <c r="AMD450" s="0"/>
      <c r="AME450" s="0"/>
      <c r="AMF450" s="0"/>
      <c r="AMG450" s="0"/>
      <c r="AMH450" s="0"/>
      <c r="AMI450" s="0"/>
      <c r="AMJ450" s="0"/>
    </row>
    <row r="451" s="14" customFormat="true" ht="12.8" hidden="false" customHeight="false" outlineLevel="0" collapsed="false">
      <c r="C451" s="26"/>
      <c r="E451" s="26"/>
      <c r="H451" s="2"/>
      <c r="I451" s="26"/>
      <c r="J451" s="26"/>
      <c r="K451" s="26"/>
      <c r="O451" s="26"/>
      <c r="P451" s="26"/>
      <c r="Q451" s="26"/>
      <c r="R451" s="26"/>
      <c r="S451" s="26"/>
      <c r="T451" s="26"/>
      <c r="U451" s="26"/>
      <c r="W451" s="27"/>
      <c r="AE451" s="26"/>
      <c r="AF451" s="26"/>
      <c r="AG451" s="26"/>
      <c r="AH451" s="26"/>
      <c r="AI451" s="26"/>
      <c r="AJ451" s="26"/>
      <c r="AKX451" s="0"/>
      <c r="AKY451" s="0"/>
      <c r="AKZ451" s="0"/>
      <c r="ALA451" s="0"/>
      <c r="ALB451" s="0"/>
      <c r="ALC451" s="0"/>
      <c r="ALD451" s="0"/>
      <c r="ALE451" s="0"/>
      <c r="ALF451" s="0"/>
      <c r="ALG451" s="0"/>
      <c r="ALH451" s="0"/>
      <c r="ALI451" s="0"/>
      <c r="ALJ451" s="0"/>
      <c r="ALK451" s="0"/>
      <c r="ALL451" s="0"/>
      <c r="ALM451" s="0"/>
      <c r="ALN451" s="0"/>
      <c r="ALO451" s="0"/>
      <c r="ALP451" s="0"/>
      <c r="ALQ451" s="0"/>
      <c r="ALR451" s="0"/>
      <c r="ALS451" s="0"/>
      <c r="ALT451" s="0"/>
      <c r="ALU451" s="0"/>
      <c r="ALV451" s="0"/>
      <c r="ALW451" s="0"/>
      <c r="ALX451" s="0"/>
      <c r="ALY451" s="0"/>
      <c r="ALZ451" s="0"/>
      <c r="AMA451" s="0"/>
      <c r="AMB451" s="0"/>
      <c r="AMC451" s="0"/>
      <c r="AMD451" s="0"/>
      <c r="AME451" s="0"/>
      <c r="AMF451" s="0"/>
      <c r="AMG451" s="0"/>
      <c r="AMH451" s="0"/>
      <c r="AMI451" s="0"/>
      <c r="AMJ451" s="0"/>
    </row>
    <row r="452" s="14" customFormat="true" ht="12.8" hidden="false" customHeight="false" outlineLevel="0" collapsed="false">
      <c r="C452" s="26"/>
      <c r="E452" s="26"/>
      <c r="H452" s="2"/>
      <c r="I452" s="26"/>
      <c r="J452" s="26"/>
      <c r="K452" s="26"/>
      <c r="O452" s="26"/>
      <c r="P452" s="26"/>
      <c r="Q452" s="26"/>
      <c r="R452" s="26"/>
      <c r="S452" s="26"/>
      <c r="T452" s="26"/>
      <c r="U452" s="26"/>
      <c r="W452" s="27"/>
      <c r="AE452" s="26"/>
      <c r="AF452" s="26"/>
      <c r="AG452" s="26"/>
      <c r="AH452" s="26"/>
      <c r="AI452" s="26"/>
      <c r="AJ452" s="26"/>
      <c r="AKX452" s="0"/>
      <c r="AKY452" s="0"/>
      <c r="AKZ452" s="0"/>
      <c r="ALA452" s="0"/>
      <c r="ALB452" s="0"/>
      <c r="ALC452" s="0"/>
      <c r="ALD452" s="0"/>
      <c r="ALE452" s="0"/>
      <c r="ALF452" s="0"/>
      <c r="ALG452" s="0"/>
      <c r="ALH452" s="0"/>
      <c r="ALI452" s="0"/>
      <c r="ALJ452" s="0"/>
      <c r="ALK452" s="0"/>
      <c r="ALL452" s="0"/>
      <c r="ALM452" s="0"/>
      <c r="ALN452" s="0"/>
      <c r="ALO452" s="0"/>
      <c r="ALP452" s="0"/>
      <c r="ALQ452" s="0"/>
      <c r="ALR452" s="0"/>
      <c r="ALS452" s="0"/>
      <c r="ALT452" s="0"/>
      <c r="ALU452" s="0"/>
      <c r="ALV452" s="0"/>
      <c r="ALW452" s="0"/>
      <c r="ALX452" s="0"/>
      <c r="ALY452" s="0"/>
      <c r="ALZ452" s="0"/>
      <c r="AMA452" s="0"/>
      <c r="AMB452" s="0"/>
      <c r="AMC452" s="0"/>
      <c r="AMD452" s="0"/>
      <c r="AME452" s="0"/>
      <c r="AMF452" s="0"/>
      <c r="AMG452" s="0"/>
      <c r="AMH452" s="0"/>
      <c r="AMI452" s="0"/>
      <c r="AMJ452" s="0"/>
    </row>
    <row r="453" s="14" customFormat="true" ht="12.8" hidden="false" customHeight="false" outlineLevel="0" collapsed="false">
      <c r="C453" s="26"/>
      <c r="E453" s="26"/>
      <c r="H453" s="2"/>
      <c r="I453" s="26"/>
      <c r="J453" s="26"/>
      <c r="K453" s="26"/>
      <c r="O453" s="26"/>
      <c r="P453" s="26"/>
      <c r="Q453" s="26"/>
      <c r="R453" s="26"/>
      <c r="S453" s="26"/>
      <c r="T453" s="26"/>
      <c r="U453" s="26"/>
      <c r="W453" s="27"/>
      <c r="AE453" s="26"/>
      <c r="AF453" s="26"/>
      <c r="AG453" s="26"/>
      <c r="AH453" s="26"/>
      <c r="AI453" s="26"/>
      <c r="AJ453" s="26"/>
      <c r="AKX453" s="0"/>
      <c r="AKY453" s="0"/>
      <c r="AKZ453" s="0"/>
      <c r="ALA453" s="0"/>
      <c r="ALB453" s="0"/>
      <c r="ALC453" s="0"/>
      <c r="ALD453" s="0"/>
      <c r="ALE453" s="0"/>
      <c r="ALF453" s="0"/>
      <c r="ALG453" s="0"/>
      <c r="ALH453" s="0"/>
      <c r="ALI453" s="0"/>
      <c r="ALJ453" s="0"/>
      <c r="ALK453" s="0"/>
      <c r="ALL453" s="0"/>
      <c r="ALM453" s="0"/>
      <c r="ALN453" s="0"/>
      <c r="ALO453" s="0"/>
      <c r="ALP453" s="0"/>
      <c r="ALQ453" s="0"/>
      <c r="ALR453" s="0"/>
      <c r="ALS453" s="0"/>
      <c r="ALT453" s="0"/>
      <c r="ALU453" s="0"/>
      <c r="ALV453" s="0"/>
      <c r="ALW453" s="0"/>
      <c r="ALX453" s="0"/>
      <c r="ALY453" s="0"/>
      <c r="ALZ453" s="0"/>
      <c r="AMA453" s="0"/>
      <c r="AMB453" s="0"/>
      <c r="AMC453" s="0"/>
      <c r="AMD453" s="0"/>
      <c r="AME453" s="0"/>
      <c r="AMF453" s="0"/>
      <c r="AMG453" s="0"/>
      <c r="AMH453" s="0"/>
      <c r="AMI453" s="0"/>
      <c r="AMJ453" s="0"/>
    </row>
    <row r="454" s="14" customFormat="true" ht="12.8" hidden="false" customHeight="false" outlineLevel="0" collapsed="false">
      <c r="C454" s="26"/>
      <c r="E454" s="26"/>
      <c r="H454" s="2"/>
      <c r="I454" s="26"/>
      <c r="J454" s="26"/>
      <c r="K454" s="26"/>
      <c r="O454" s="26"/>
      <c r="P454" s="26"/>
      <c r="Q454" s="26"/>
      <c r="R454" s="26"/>
      <c r="S454" s="26"/>
      <c r="T454" s="26"/>
      <c r="U454" s="26"/>
      <c r="W454" s="27"/>
      <c r="AE454" s="26"/>
      <c r="AF454" s="26"/>
      <c r="AG454" s="26"/>
      <c r="AH454" s="26"/>
      <c r="AI454" s="26"/>
      <c r="AJ454" s="26"/>
      <c r="AKX454" s="0"/>
      <c r="AKY454" s="0"/>
      <c r="AKZ454" s="0"/>
      <c r="ALA454" s="0"/>
      <c r="ALB454" s="0"/>
      <c r="ALC454" s="0"/>
      <c r="ALD454" s="0"/>
      <c r="ALE454" s="0"/>
      <c r="ALF454" s="0"/>
      <c r="ALG454" s="0"/>
      <c r="ALH454" s="0"/>
      <c r="ALI454" s="0"/>
      <c r="ALJ454" s="0"/>
      <c r="ALK454" s="0"/>
      <c r="ALL454" s="0"/>
      <c r="ALM454" s="0"/>
      <c r="ALN454" s="0"/>
      <c r="ALO454" s="0"/>
      <c r="ALP454" s="0"/>
      <c r="ALQ454" s="0"/>
      <c r="ALR454" s="0"/>
      <c r="ALS454" s="0"/>
      <c r="ALT454" s="0"/>
      <c r="ALU454" s="0"/>
      <c r="ALV454" s="0"/>
      <c r="ALW454" s="0"/>
      <c r="ALX454" s="0"/>
      <c r="ALY454" s="0"/>
      <c r="ALZ454" s="0"/>
      <c r="AMA454" s="0"/>
      <c r="AMB454" s="0"/>
      <c r="AMC454" s="0"/>
      <c r="AMD454" s="0"/>
      <c r="AME454" s="0"/>
      <c r="AMF454" s="0"/>
      <c r="AMG454" s="0"/>
      <c r="AMH454" s="0"/>
      <c r="AMI454" s="0"/>
      <c r="AMJ454" s="0"/>
    </row>
    <row r="455" s="14" customFormat="true" ht="12.8" hidden="false" customHeight="false" outlineLevel="0" collapsed="false">
      <c r="C455" s="26"/>
      <c r="E455" s="26"/>
      <c r="H455" s="2"/>
      <c r="I455" s="26"/>
      <c r="J455" s="26"/>
      <c r="K455" s="26"/>
      <c r="O455" s="26"/>
      <c r="P455" s="26"/>
      <c r="Q455" s="26"/>
      <c r="R455" s="26"/>
      <c r="S455" s="26"/>
      <c r="T455" s="26"/>
      <c r="U455" s="26"/>
      <c r="W455" s="27"/>
      <c r="AE455" s="26"/>
      <c r="AF455" s="26"/>
      <c r="AG455" s="26"/>
      <c r="AH455" s="26"/>
      <c r="AI455" s="26"/>
      <c r="AJ455" s="26"/>
      <c r="AKX455" s="0"/>
      <c r="AKY455" s="0"/>
      <c r="AKZ455" s="0"/>
      <c r="ALA455" s="0"/>
      <c r="ALB455" s="0"/>
      <c r="ALC455" s="0"/>
      <c r="ALD455" s="0"/>
      <c r="ALE455" s="0"/>
      <c r="ALF455" s="0"/>
      <c r="ALG455" s="0"/>
      <c r="ALH455" s="0"/>
      <c r="ALI455" s="0"/>
      <c r="ALJ455" s="0"/>
      <c r="ALK455" s="0"/>
      <c r="ALL455" s="0"/>
      <c r="ALM455" s="0"/>
      <c r="ALN455" s="0"/>
      <c r="ALO455" s="0"/>
      <c r="ALP455" s="0"/>
      <c r="ALQ455" s="0"/>
      <c r="ALR455" s="0"/>
      <c r="ALS455" s="0"/>
      <c r="ALT455" s="0"/>
      <c r="ALU455" s="0"/>
      <c r="ALV455" s="0"/>
      <c r="ALW455" s="0"/>
      <c r="ALX455" s="0"/>
      <c r="ALY455" s="0"/>
      <c r="ALZ455" s="0"/>
      <c r="AMA455" s="0"/>
      <c r="AMB455" s="0"/>
      <c r="AMC455" s="0"/>
      <c r="AMD455" s="0"/>
      <c r="AME455" s="0"/>
      <c r="AMF455" s="0"/>
      <c r="AMG455" s="0"/>
      <c r="AMH455" s="0"/>
      <c r="AMI455" s="0"/>
      <c r="AMJ455" s="0"/>
    </row>
    <row r="456" s="14" customFormat="true" ht="12.8" hidden="false" customHeight="false" outlineLevel="0" collapsed="false">
      <c r="C456" s="26"/>
      <c r="E456" s="26"/>
      <c r="H456" s="2"/>
      <c r="I456" s="26"/>
      <c r="J456" s="26"/>
      <c r="K456" s="26"/>
      <c r="O456" s="26"/>
      <c r="P456" s="26"/>
      <c r="Q456" s="26"/>
      <c r="R456" s="26"/>
      <c r="S456" s="26"/>
      <c r="T456" s="26"/>
      <c r="U456" s="26"/>
      <c r="W456" s="27"/>
      <c r="AE456" s="26"/>
      <c r="AF456" s="26"/>
      <c r="AG456" s="26"/>
      <c r="AH456" s="26"/>
      <c r="AI456" s="26"/>
      <c r="AJ456" s="26"/>
      <c r="AKX456" s="0"/>
      <c r="AKY456" s="0"/>
      <c r="AKZ456" s="0"/>
      <c r="ALA456" s="0"/>
      <c r="ALB456" s="0"/>
      <c r="ALC456" s="0"/>
      <c r="ALD456" s="0"/>
      <c r="ALE456" s="0"/>
      <c r="ALF456" s="0"/>
      <c r="ALG456" s="0"/>
      <c r="ALH456" s="0"/>
      <c r="ALI456" s="0"/>
      <c r="ALJ456" s="0"/>
      <c r="ALK456" s="0"/>
      <c r="ALL456" s="0"/>
      <c r="ALM456" s="0"/>
      <c r="ALN456" s="0"/>
      <c r="ALO456" s="0"/>
      <c r="ALP456" s="0"/>
      <c r="ALQ456" s="0"/>
      <c r="ALR456" s="0"/>
      <c r="ALS456" s="0"/>
      <c r="ALT456" s="0"/>
      <c r="ALU456" s="0"/>
      <c r="ALV456" s="0"/>
      <c r="ALW456" s="0"/>
      <c r="ALX456" s="0"/>
      <c r="ALY456" s="0"/>
      <c r="ALZ456" s="0"/>
      <c r="AMA456" s="0"/>
      <c r="AMB456" s="0"/>
      <c r="AMC456" s="0"/>
      <c r="AMD456" s="0"/>
      <c r="AME456" s="0"/>
      <c r="AMF456" s="0"/>
      <c r="AMG456" s="0"/>
      <c r="AMH456" s="0"/>
      <c r="AMI456" s="0"/>
      <c r="AMJ456" s="0"/>
    </row>
    <row r="457" s="14" customFormat="true" ht="12.8" hidden="false" customHeight="false" outlineLevel="0" collapsed="false">
      <c r="C457" s="26"/>
      <c r="E457" s="26"/>
      <c r="H457" s="2"/>
      <c r="I457" s="26"/>
      <c r="J457" s="26"/>
      <c r="K457" s="26"/>
      <c r="O457" s="26"/>
      <c r="P457" s="26"/>
      <c r="Q457" s="26"/>
      <c r="R457" s="26"/>
      <c r="S457" s="26"/>
      <c r="T457" s="26"/>
      <c r="U457" s="26"/>
      <c r="W457" s="27"/>
      <c r="AE457" s="26"/>
      <c r="AF457" s="26"/>
      <c r="AG457" s="26"/>
      <c r="AH457" s="26"/>
      <c r="AI457" s="26"/>
      <c r="AJ457" s="26"/>
      <c r="AKX457" s="0"/>
      <c r="AKY457" s="0"/>
      <c r="AKZ457" s="0"/>
      <c r="ALA457" s="0"/>
      <c r="ALB457" s="0"/>
      <c r="ALC457" s="0"/>
      <c r="ALD457" s="0"/>
      <c r="ALE457" s="0"/>
      <c r="ALF457" s="0"/>
      <c r="ALG457" s="0"/>
      <c r="ALH457" s="0"/>
      <c r="ALI457" s="0"/>
      <c r="ALJ457" s="0"/>
      <c r="ALK457" s="0"/>
      <c r="ALL457" s="0"/>
      <c r="ALM457" s="0"/>
      <c r="ALN457" s="0"/>
      <c r="ALO457" s="0"/>
      <c r="ALP457" s="0"/>
      <c r="ALQ457" s="0"/>
      <c r="ALR457" s="0"/>
      <c r="ALS457" s="0"/>
      <c r="ALT457" s="0"/>
      <c r="ALU457" s="0"/>
      <c r="ALV457" s="0"/>
      <c r="ALW457" s="0"/>
      <c r="ALX457" s="0"/>
      <c r="ALY457" s="0"/>
      <c r="ALZ457" s="0"/>
      <c r="AMA457" s="0"/>
      <c r="AMB457" s="0"/>
      <c r="AMC457" s="0"/>
      <c r="AMD457" s="0"/>
      <c r="AME457" s="0"/>
      <c r="AMF457" s="0"/>
      <c r="AMG457" s="0"/>
      <c r="AMH457" s="0"/>
      <c r="AMI457" s="0"/>
      <c r="AMJ457" s="0"/>
    </row>
    <row r="458" s="14" customFormat="true" ht="12.8" hidden="false" customHeight="false" outlineLevel="0" collapsed="false">
      <c r="C458" s="26"/>
      <c r="E458" s="26"/>
      <c r="H458" s="2"/>
      <c r="I458" s="26"/>
      <c r="J458" s="26"/>
      <c r="K458" s="26"/>
      <c r="O458" s="26"/>
      <c r="P458" s="26"/>
      <c r="Q458" s="26"/>
      <c r="R458" s="26"/>
      <c r="S458" s="26"/>
      <c r="T458" s="26"/>
      <c r="U458" s="26"/>
      <c r="W458" s="27"/>
      <c r="AE458" s="26"/>
      <c r="AF458" s="26"/>
      <c r="AG458" s="26"/>
      <c r="AH458" s="26"/>
      <c r="AI458" s="26"/>
      <c r="AJ458" s="26"/>
      <c r="AKX458" s="0"/>
      <c r="AKY458" s="0"/>
      <c r="AKZ458" s="0"/>
      <c r="ALA458" s="0"/>
      <c r="ALB458" s="0"/>
      <c r="ALC458" s="0"/>
      <c r="ALD458" s="0"/>
      <c r="ALE458" s="0"/>
      <c r="ALF458" s="0"/>
      <c r="ALG458" s="0"/>
      <c r="ALH458" s="0"/>
      <c r="ALI458" s="0"/>
      <c r="ALJ458" s="0"/>
      <c r="ALK458" s="0"/>
      <c r="ALL458" s="0"/>
      <c r="ALM458" s="0"/>
      <c r="ALN458" s="0"/>
      <c r="ALO458" s="0"/>
      <c r="ALP458" s="0"/>
      <c r="ALQ458" s="0"/>
      <c r="ALR458" s="0"/>
      <c r="ALS458" s="0"/>
      <c r="ALT458" s="0"/>
      <c r="ALU458" s="0"/>
      <c r="ALV458" s="0"/>
      <c r="ALW458" s="0"/>
      <c r="ALX458" s="0"/>
      <c r="ALY458" s="0"/>
      <c r="ALZ458" s="0"/>
      <c r="AMA458" s="0"/>
      <c r="AMB458" s="0"/>
      <c r="AMC458" s="0"/>
      <c r="AMD458" s="0"/>
      <c r="AME458" s="0"/>
      <c r="AMF458" s="0"/>
      <c r="AMG458" s="0"/>
      <c r="AMH458" s="0"/>
      <c r="AMI458" s="0"/>
      <c r="AMJ458" s="0"/>
    </row>
    <row r="459" s="14" customFormat="true" ht="12.8" hidden="false" customHeight="false" outlineLevel="0" collapsed="false">
      <c r="C459" s="26"/>
      <c r="E459" s="26"/>
      <c r="H459" s="2"/>
      <c r="I459" s="26"/>
      <c r="J459" s="26"/>
      <c r="K459" s="26"/>
      <c r="O459" s="26"/>
      <c r="P459" s="26"/>
      <c r="Q459" s="26"/>
      <c r="R459" s="26"/>
      <c r="S459" s="26"/>
      <c r="T459" s="26"/>
      <c r="U459" s="26"/>
      <c r="W459" s="27"/>
      <c r="AE459" s="26"/>
      <c r="AF459" s="26"/>
      <c r="AG459" s="26"/>
      <c r="AH459" s="26"/>
      <c r="AI459" s="26"/>
      <c r="AJ459" s="26"/>
      <c r="AKX459" s="0"/>
      <c r="AKY459" s="0"/>
      <c r="AKZ459" s="0"/>
      <c r="ALA459" s="0"/>
      <c r="ALB459" s="0"/>
      <c r="ALC459" s="0"/>
      <c r="ALD459" s="0"/>
      <c r="ALE459" s="0"/>
      <c r="ALF459" s="0"/>
      <c r="ALG459" s="0"/>
      <c r="ALH459" s="0"/>
      <c r="ALI459" s="0"/>
      <c r="ALJ459" s="0"/>
      <c r="ALK459" s="0"/>
      <c r="ALL459" s="0"/>
      <c r="ALM459" s="0"/>
      <c r="ALN459" s="0"/>
      <c r="ALO459" s="0"/>
      <c r="ALP459" s="0"/>
      <c r="ALQ459" s="0"/>
      <c r="ALR459" s="0"/>
      <c r="ALS459" s="0"/>
      <c r="ALT459" s="0"/>
      <c r="ALU459" s="0"/>
      <c r="ALV459" s="0"/>
      <c r="ALW459" s="0"/>
      <c r="ALX459" s="0"/>
      <c r="ALY459" s="0"/>
      <c r="ALZ459" s="0"/>
      <c r="AMA459" s="0"/>
      <c r="AMB459" s="0"/>
      <c r="AMC459" s="0"/>
      <c r="AMD459" s="0"/>
      <c r="AME459" s="0"/>
      <c r="AMF459" s="0"/>
      <c r="AMG459" s="0"/>
      <c r="AMH459" s="0"/>
      <c r="AMI459" s="0"/>
      <c r="AMJ459" s="0"/>
    </row>
    <row r="460" s="14" customFormat="true" ht="12.8" hidden="false" customHeight="false" outlineLevel="0" collapsed="false">
      <c r="C460" s="26"/>
      <c r="E460" s="26"/>
      <c r="H460" s="2"/>
      <c r="I460" s="26"/>
      <c r="J460" s="26"/>
      <c r="K460" s="26"/>
      <c r="O460" s="26"/>
      <c r="P460" s="26"/>
      <c r="Q460" s="26"/>
      <c r="R460" s="26"/>
      <c r="S460" s="26"/>
      <c r="T460" s="26"/>
      <c r="U460" s="26"/>
      <c r="W460" s="27"/>
      <c r="AE460" s="26"/>
      <c r="AF460" s="26"/>
      <c r="AG460" s="26"/>
      <c r="AH460" s="26"/>
      <c r="AI460" s="26"/>
      <c r="AJ460" s="26"/>
      <c r="AKX460" s="0"/>
      <c r="AKY460" s="0"/>
      <c r="AKZ460" s="0"/>
      <c r="ALA460" s="0"/>
      <c r="ALB460" s="0"/>
      <c r="ALC460" s="0"/>
      <c r="ALD460" s="0"/>
      <c r="ALE460" s="0"/>
      <c r="ALF460" s="0"/>
      <c r="ALG460" s="0"/>
      <c r="ALH460" s="0"/>
      <c r="ALI460" s="0"/>
      <c r="ALJ460" s="0"/>
      <c r="ALK460" s="0"/>
      <c r="ALL460" s="0"/>
      <c r="ALM460" s="0"/>
      <c r="ALN460" s="0"/>
      <c r="ALO460" s="0"/>
      <c r="ALP460" s="0"/>
      <c r="ALQ460" s="0"/>
      <c r="ALR460" s="0"/>
      <c r="ALS460" s="0"/>
      <c r="ALT460" s="0"/>
      <c r="ALU460" s="0"/>
      <c r="ALV460" s="0"/>
      <c r="ALW460" s="0"/>
      <c r="ALX460" s="0"/>
      <c r="ALY460" s="0"/>
      <c r="ALZ460" s="0"/>
      <c r="AMA460" s="0"/>
      <c r="AMB460" s="0"/>
      <c r="AMC460" s="0"/>
      <c r="AMD460" s="0"/>
      <c r="AME460" s="0"/>
      <c r="AMF460" s="0"/>
      <c r="AMG460" s="0"/>
      <c r="AMH460" s="0"/>
      <c r="AMI460" s="0"/>
      <c r="AMJ460" s="0"/>
    </row>
    <row r="461" s="14" customFormat="true" ht="12.8" hidden="false" customHeight="false" outlineLevel="0" collapsed="false">
      <c r="C461" s="26"/>
      <c r="E461" s="26"/>
      <c r="H461" s="2"/>
      <c r="I461" s="26"/>
      <c r="J461" s="26"/>
      <c r="K461" s="26"/>
      <c r="O461" s="26"/>
      <c r="P461" s="26"/>
      <c r="Q461" s="26"/>
      <c r="R461" s="26"/>
      <c r="S461" s="26"/>
      <c r="T461" s="26"/>
      <c r="U461" s="26"/>
      <c r="W461" s="27"/>
      <c r="AE461" s="26"/>
      <c r="AF461" s="26"/>
      <c r="AG461" s="26"/>
      <c r="AH461" s="26"/>
      <c r="AI461" s="26"/>
      <c r="AJ461" s="26"/>
      <c r="AKX461" s="0"/>
      <c r="AKY461" s="0"/>
      <c r="AKZ461" s="0"/>
      <c r="ALA461" s="0"/>
      <c r="ALB461" s="0"/>
      <c r="ALC461" s="0"/>
      <c r="ALD461" s="0"/>
      <c r="ALE461" s="0"/>
      <c r="ALF461" s="0"/>
      <c r="ALG461" s="0"/>
      <c r="ALH461" s="0"/>
      <c r="ALI461" s="0"/>
      <c r="ALJ461" s="0"/>
      <c r="ALK461" s="0"/>
      <c r="ALL461" s="0"/>
      <c r="ALM461" s="0"/>
      <c r="ALN461" s="0"/>
      <c r="ALO461" s="0"/>
      <c r="ALP461" s="0"/>
      <c r="ALQ461" s="0"/>
      <c r="ALR461" s="0"/>
      <c r="ALS461" s="0"/>
      <c r="ALT461" s="0"/>
      <c r="ALU461" s="0"/>
      <c r="ALV461" s="0"/>
      <c r="ALW461" s="0"/>
      <c r="ALX461" s="0"/>
      <c r="ALY461" s="0"/>
      <c r="ALZ461" s="0"/>
      <c r="AMA461" s="0"/>
      <c r="AMB461" s="0"/>
      <c r="AMC461" s="0"/>
      <c r="AMD461" s="0"/>
      <c r="AME461" s="0"/>
      <c r="AMF461" s="0"/>
      <c r="AMG461" s="0"/>
      <c r="AMH461" s="0"/>
      <c r="AMI461" s="0"/>
      <c r="AMJ461" s="0"/>
    </row>
    <row r="462" s="14" customFormat="true" ht="12.8" hidden="false" customHeight="false" outlineLevel="0" collapsed="false">
      <c r="C462" s="26"/>
      <c r="E462" s="26"/>
      <c r="H462" s="2"/>
      <c r="I462" s="26"/>
      <c r="J462" s="26"/>
      <c r="K462" s="26"/>
      <c r="O462" s="26"/>
      <c r="P462" s="26"/>
      <c r="Q462" s="26"/>
      <c r="R462" s="26"/>
      <c r="S462" s="26"/>
      <c r="T462" s="26"/>
      <c r="U462" s="26"/>
      <c r="W462" s="27"/>
      <c r="AE462" s="26"/>
      <c r="AF462" s="26"/>
      <c r="AG462" s="26"/>
      <c r="AH462" s="26"/>
      <c r="AI462" s="26"/>
      <c r="AJ462" s="26"/>
      <c r="AKX462" s="0"/>
      <c r="AKY462" s="0"/>
      <c r="AKZ462" s="0"/>
      <c r="ALA462" s="0"/>
      <c r="ALB462" s="0"/>
      <c r="ALC462" s="0"/>
      <c r="ALD462" s="0"/>
      <c r="ALE462" s="0"/>
      <c r="ALF462" s="0"/>
      <c r="ALG462" s="0"/>
      <c r="ALH462" s="0"/>
      <c r="ALI462" s="0"/>
      <c r="ALJ462" s="0"/>
      <c r="ALK462" s="0"/>
      <c r="ALL462" s="0"/>
      <c r="ALM462" s="0"/>
      <c r="ALN462" s="0"/>
      <c r="ALO462" s="0"/>
      <c r="ALP462" s="0"/>
      <c r="ALQ462" s="0"/>
      <c r="ALR462" s="0"/>
      <c r="ALS462" s="0"/>
      <c r="ALT462" s="0"/>
      <c r="ALU462" s="0"/>
      <c r="ALV462" s="0"/>
      <c r="ALW462" s="0"/>
      <c r="ALX462" s="0"/>
      <c r="ALY462" s="0"/>
      <c r="ALZ462" s="0"/>
      <c r="AMA462" s="0"/>
      <c r="AMB462" s="0"/>
      <c r="AMC462" s="0"/>
      <c r="AMD462" s="0"/>
      <c r="AME462" s="0"/>
      <c r="AMF462" s="0"/>
      <c r="AMG462" s="0"/>
      <c r="AMH462" s="0"/>
      <c r="AMI462" s="0"/>
      <c r="AMJ462" s="0"/>
    </row>
    <row r="463" s="14" customFormat="true" ht="12.8" hidden="false" customHeight="false" outlineLevel="0" collapsed="false">
      <c r="C463" s="26"/>
      <c r="E463" s="26"/>
      <c r="H463" s="2"/>
      <c r="I463" s="26"/>
      <c r="J463" s="26"/>
      <c r="K463" s="26"/>
      <c r="O463" s="26"/>
      <c r="P463" s="26"/>
      <c r="Q463" s="26"/>
      <c r="R463" s="26"/>
      <c r="S463" s="26"/>
      <c r="T463" s="26"/>
      <c r="U463" s="26"/>
      <c r="W463" s="27"/>
      <c r="AE463" s="26"/>
      <c r="AF463" s="26"/>
      <c r="AG463" s="26"/>
      <c r="AH463" s="26"/>
      <c r="AI463" s="26"/>
      <c r="AJ463" s="26"/>
      <c r="AKX463" s="0"/>
      <c r="AKY463" s="0"/>
      <c r="AKZ463" s="0"/>
      <c r="ALA463" s="0"/>
      <c r="ALB463" s="0"/>
      <c r="ALC463" s="0"/>
      <c r="ALD463" s="0"/>
      <c r="ALE463" s="0"/>
      <c r="ALF463" s="0"/>
      <c r="ALG463" s="0"/>
      <c r="ALH463" s="0"/>
      <c r="ALI463" s="0"/>
      <c r="ALJ463" s="0"/>
      <c r="ALK463" s="0"/>
      <c r="ALL463" s="0"/>
      <c r="ALM463" s="0"/>
      <c r="ALN463" s="0"/>
      <c r="ALO463" s="0"/>
      <c r="ALP463" s="0"/>
      <c r="ALQ463" s="0"/>
      <c r="ALR463" s="0"/>
      <c r="ALS463" s="0"/>
      <c r="ALT463" s="0"/>
      <c r="ALU463" s="0"/>
      <c r="ALV463" s="0"/>
      <c r="ALW463" s="0"/>
      <c r="ALX463" s="0"/>
      <c r="ALY463" s="0"/>
      <c r="ALZ463" s="0"/>
      <c r="AMA463" s="0"/>
      <c r="AMB463" s="0"/>
      <c r="AMC463" s="0"/>
      <c r="AMD463" s="0"/>
      <c r="AME463" s="0"/>
      <c r="AMF463" s="0"/>
      <c r="AMG463" s="0"/>
      <c r="AMH463" s="0"/>
      <c r="AMI463" s="0"/>
      <c r="AMJ463" s="0"/>
    </row>
    <row r="464" s="14" customFormat="true" ht="12.8" hidden="false" customHeight="false" outlineLevel="0" collapsed="false">
      <c r="C464" s="26"/>
      <c r="E464" s="26"/>
      <c r="H464" s="2"/>
      <c r="I464" s="26"/>
      <c r="J464" s="26"/>
      <c r="K464" s="26"/>
      <c r="O464" s="26"/>
      <c r="P464" s="26"/>
      <c r="Q464" s="26"/>
      <c r="R464" s="26"/>
      <c r="S464" s="26"/>
      <c r="T464" s="26"/>
      <c r="U464" s="26"/>
      <c r="W464" s="27"/>
      <c r="AE464" s="26"/>
      <c r="AF464" s="26"/>
      <c r="AG464" s="26"/>
      <c r="AH464" s="26"/>
      <c r="AI464" s="26"/>
      <c r="AJ464" s="26"/>
      <c r="AKX464" s="0"/>
      <c r="AKY464" s="0"/>
      <c r="AKZ464" s="0"/>
      <c r="ALA464" s="0"/>
      <c r="ALB464" s="0"/>
      <c r="ALC464" s="0"/>
      <c r="ALD464" s="0"/>
      <c r="ALE464" s="0"/>
      <c r="ALF464" s="0"/>
      <c r="ALG464" s="0"/>
      <c r="ALH464" s="0"/>
      <c r="ALI464" s="0"/>
      <c r="ALJ464" s="0"/>
      <c r="ALK464" s="0"/>
      <c r="ALL464" s="0"/>
      <c r="ALM464" s="0"/>
      <c r="ALN464" s="0"/>
      <c r="ALO464" s="0"/>
      <c r="ALP464" s="0"/>
      <c r="ALQ464" s="0"/>
      <c r="ALR464" s="0"/>
      <c r="ALS464" s="0"/>
      <c r="ALT464" s="0"/>
      <c r="ALU464" s="0"/>
      <c r="ALV464" s="0"/>
      <c r="ALW464" s="0"/>
      <c r="ALX464" s="0"/>
      <c r="ALY464" s="0"/>
      <c r="ALZ464" s="0"/>
      <c r="AMA464" s="0"/>
      <c r="AMB464" s="0"/>
      <c r="AMC464" s="0"/>
      <c r="AMD464" s="0"/>
      <c r="AME464" s="0"/>
      <c r="AMF464" s="0"/>
      <c r="AMG464" s="0"/>
      <c r="AMH464" s="0"/>
      <c r="AMI464" s="0"/>
      <c r="AMJ464" s="0"/>
    </row>
    <row r="465" s="14" customFormat="true" ht="12.8" hidden="false" customHeight="false" outlineLevel="0" collapsed="false">
      <c r="C465" s="26"/>
      <c r="E465" s="26"/>
      <c r="H465" s="2"/>
      <c r="I465" s="26"/>
      <c r="J465" s="26"/>
      <c r="K465" s="26"/>
      <c r="O465" s="26"/>
      <c r="P465" s="26"/>
      <c r="Q465" s="26"/>
      <c r="R465" s="26"/>
      <c r="S465" s="26"/>
      <c r="T465" s="26"/>
      <c r="U465" s="26"/>
      <c r="W465" s="27"/>
      <c r="AE465" s="26"/>
      <c r="AF465" s="26"/>
      <c r="AG465" s="26"/>
      <c r="AH465" s="26"/>
      <c r="AI465" s="26"/>
      <c r="AJ465" s="26"/>
      <c r="AKX465" s="0"/>
      <c r="AKY465" s="0"/>
      <c r="AKZ465" s="0"/>
      <c r="ALA465" s="0"/>
      <c r="ALB465" s="0"/>
      <c r="ALC465" s="0"/>
      <c r="ALD465" s="0"/>
      <c r="ALE465" s="0"/>
      <c r="ALF465" s="0"/>
      <c r="ALG465" s="0"/>
      <c r="ALH465" s="0"/>
      <c r="ALI465" s="0"/>
      <c r="ALJ465" s="0"/>
      <c r="ALK465" s="0"/>
      <c r="ALL465" s="0"/>
      <c r="ALM465" s="0"/>
      <c r="ALN465" s="0"/>
      <c r="ALO465" s="0"/>
      <c r="ALP465" s="0"/>
      <c r="ALQ465" s="0"/>
      <c r="ALR465" s="0"/>
      <c r="ALS465" s="0"/>
      <c r="ALT465" s="0"/>
      <c r="ALU465" s="0"/>
      <c r="ALV465" s="0"/>
      <c r="ALW465" s="0"/>
      <c r="ALX465" s="0"/>
      <c r="ALY465" s="0"/>
      <c r="ALZ465" s="0"/>
      <c r="AMA465" s="0"/>
      <c r="AMB465" s="0"/>
      <c r="AMC465" s="0"/>
      <c r="AMD465" s="0"/>
      <c r="AME465" s="0"/>
      <c r="AMF465" s="0"/>
      <c r="AMG465" s="0"/>
      <c r="AMH465" s="0"/>
      <c r="AMI465" s="0"/>
      <c r="AMJ465" s="0"/>
    </row>
    <row r="466" s="14" customFormat="true" ht="12.8" hidden="false" customHeight="false" outlineLevel="0" collapsed="false">
      <c r="C466" s="26"/>
      <c r="E466" s="26"/>
      <c r="H466" s="2"/>
      <c r="I466" s="26"/>
      <c r="J466" s="26"/>
      <c r="K466" s="26"/>
      <c r="O466" s="26"/>
      <c r="P466" s="26"/>
      <c r="Q466" s="26"/>
      <c r="R466" s="26"/>
      <c r="S466" s="26"/>
      <c r="T466" s="26"/>
      <c r="U466" s="26"/>
      <c r="W466" s="27"/>
      <c r="AE466" s="26"/>
      <c r="AF466" s="26"/>
      <c r="AG466" s="26"/>
      <c r="AH466" s="26"/>
      <c r="AI466" s="26"/>
      <c r="AJ466" s="26"/>
      <c r="AKX466" s="0"/>
      <c r="AKY466" s="0"/>
      <c r="AKZ466" s="0"/>
      <c r="ALA466" s="0"/>
      <c r="ALB466" s="0"/>
      <c r="ALC466" s="0"/>
      <c r="ALD466" s="0"/>
      <c r="ALE466" s="0"/>
      <c r="ALF466" s="0"/>
      <c r="ALG466" s="0"/>
      <c r="ALH466" s="0"/>
      <c r="ALI466" s="0"/>
      <c r="ALJ466" s="0"/>
      <c r="ALK466" s="0"/>
      <c r="ALL466" s="0"/>
      <c r="ALM466" s="0"/>
      <c r="ALN466" s="0"/>
      <c r="ALO466" s="0"/>
      <c r="ALP466" s="0"/>
      <c r="ALQ466" s="0"/>
      <c r="ALR466" s="0"/>
      <c r="ALS466" s="0"/>
      <c r="ALT466" s="0"/>
      <c r="ALU466" s="0"/>
      <c r="ALV466" s="0"/>
      <c r="ALW466" s="0"/>
      <c r="ALX466" s="0"/>
      <c r="ALY466" s="0"/>
      <c r="ALZ466" s="0"/>
      <c r="AMA466" s="0"/>
      <c r="AMB466" s="0"/>
      <c r="AMC466" s="0"/>
      <c r="AMD466" s="0"/>
      <c r="AME466" s="0"/>
      <c r="AMF466" s="0"/>
      <c r="AMG466" s="0"/>
      <c r="AMH466" s="0"/>
      <c r="AMI466" s="0"/>
      <c r="AMJ466" s="0"/>
    </row>
    <row r="467" s="14" customFormat="true" ht="12.8" hidden="false" customHeight="false" outlineLevel="0" collapsed="false">
      <c r="C467" s="26"/>
      <c r="E467" s="26"/>
      <c r="H467" s="2"/>
      <c r="I467" s="26"/>
      <c r="J467" s="26"/>
      <c r="K467" s="26"/>
      <c r="O467" s="26"/>
      <c r="P467" s="26"/>
      <c r="Q467" s="26"/>
      <c r="R467" s="26"/>
      <c r="S467" s="26"/>
      <c r="T467" s="26"/>
      <c r="U467" s="26"/>
      <c r="W467" s="27"/>
      <c r="AE467" s="26"/>
      <c r="AF467" s="26"/>
      <c r="AG467" s="26"/>
      <c r="AH467" s="26"/>
      <c r="AI467" s="26"/>
      <c r="AJ467" s="26"/>
      <c r="AKX467" s="0"/>
      <c r="AKY467" s="0"/>
      <c r="AKZ467" s="0"/>
      <c r="ALA467" s="0"/>
      <c r="ALB467" s="0"/>
      <c r="ALC467" s="0"/>
      <c r="ALD467" s="0"/>
      <c r="ALE467" s="0"/>
      <c r="ALF467" s="0"/>
      <c r="ALG467" s="0"/>
      <c r="ALH467" s="0"/>
      <c r="ALI467" s="0"/>
      <c r="ALJ467" s="0"/>
      <c r="ALK467" s="0"/>
      <c r="ALL467" s="0"/>
      <c r="ALM467" s="0"/>
      <c r="ALN467" s="0"/>
      <c r="ALO467" s="0"/>
      <c r="ALP467" s="0"/>
      <c r="ALQ467" s="0"/>
      <c r="ALR467" s="0"/>
      <c r="ALS467" s="0"/>
      <c r="ALT467" s="0"/>
      <c r="ALU467" s="0"/>
      <c r="ALV467" s="0"/>
      <c r="ALW467" s="0"/>
      <c r="ALX467" s="0"/>
      <c r="ALY467" s="0"/>
      <c r="ALZ467" s="0"/>
      <c r="AMA467" s="0"/>
      <c r="AMB467" s="0"/>
      <c r="AMC467" s="0"/>
      <c r="AMD467" s="0"/>
      <c r="AME467" s="0"/>
      <c r="AMF467" s="0"/>
      <c r="AMG467" s="0"/>
      <c r="AMH467" s="0"/>
      <c r="AMI467" s="0"/>
      <c r="AMJ467" s="0"/>
    </row>
    <row r="468" s="14" customFormat="true" ht="12.8" hidden="false" customHeight="false" outlineLevel="0" collapsed="false">
      <c r="C468" s="26"/>
      <c r="E468" s="26"/>
      <c r="H468" s="2"/>
      <c r="I468" s="26"/>
      <c r="J468" s="26"/>
      <c r="K468" s="26"/>
      <c r="O468" s="26"/>
      <c r="P468" s="26"/>
      <c r="Q468" s="26"/>
      <c r="R468" s="26"/>
      <c r="S468" s="26"/>
      <c r="T468" s="26"/>
      <c r="U468" s="26"/>
      <c r="W468" s="27"/>
      <c r="AE468" s="26"/>
      <c r="AF468" s="26"/>
      <c r="AG468" s="26"/>
      <c r="AH468" s="26"/>
      <c r="AI468" s="26"/>
      <c r="AJ468" s="26"/>
      <c r="AKX468" s="0"/>
      <c r="AKY468" s="0"/>
      <c r="AKZ468" s="0"/>
      <c r="ALA468" s="0"/>
      <c r="ALB468" s="0"/>
      <c r="ALC468" s="0"/>
      <c r="ALD468" s="0"/>
      <c r="ALE468" s="0"/>
      <c r="ALF468" s="0"/>
      <c r="ALG468" s="0"/>
      <c r="ALH468" s="0"/>
      <c r="ALI468" s="0"/>
      <c r="ALJ468" s="0"/>
      <c r="ALK468" s="0"/>
      <c r="ALL468" s="0"/>
      <c r="ALM468" s="0"/>
      <c r="ALN468" s="0"/>
      <c r="ALO468" s="0"/>
      <c r="ALP468" s="0"/>
      <c r="ALQ468" s="0"/>
      <c r="ALR468" s="0"/>
      <c r="ALS468" s="0"/>
      <c r="ALT468" s="0"/>
      <c r="ALU468" s="0"/>
      <c r="ALV468" s="0"/>
      <c r="ALW468" s="0"/>
      <c r="ALX468" s="0"/>
      <c r="ALY468" s="0"/>
      <c r="ALZ468" s="0"/>
      <c r="AMA468" s="0"/>
      <c r="AMB468" s="0"/>
      <c r="AMC468" s="0"/>
      <c r="AMD468" s="0"/>
      <c r="AME468" s="0"/>
      <c r="AMF468" s="0"/>
      <c r="AMG468" s="0"/>
      <c r="AMH468" s="0"/>
      <c r="AMI468" s="0"/>
      <c r="AMJ468" s="0"/>
    </row>
    <row r="469" s="14" customFormat="true" ht="12.8" hidden="false" customHeight="false" outlineLevel="0" collapsed="false">
      <c r="C469" s="26"/>
      <c r="E469" s="26"/>
      <c r="H469" s="2"/>
      <c r="I469" s="26"/>
      <c r="J469" s="26"/>
      <c r="K469" s="26"/>
      <c r="O469" s="26"/>
      <c r="P469" s="26"/>
      <c r="Q469" s="26"/>
      <c r="R469" s="26"/>
      <c r="S469" s="26"/>
      <c r="T469" s="26"/>
      <c r="U469" s="26"/>
      <c r="W469" s="27"/>
      <c r="AE469" s="26"/>
      <c r="AF469" s="26"/>
      <c r="AG469" s="26"/>
      <c r="AH469" s="26"/>
      <c r="AI469" s="26"/>
      <c r="AJ469" s="26"/>
      <c r="AKX469" s="0"/>
      <c r="AKY469" s="0"/>
      <c r="AKZ469" s="0"/>
      <c r="ALA469" s="0"/>
      <c r="ALB469" s="0"/>
      <c r="ALC469" s="0"/>
      <c r="ALD469" s="0"/>
      <c r="ALE469" s="0"/>
      <c r="ALF469" s="0"/>
      <c r="ALG469" s="0"/>
      <c r="ALH469" s="0"/>
      <c r="ALI469" s="0"/>
      <c r="ALJ469" s="0"/>
      <c r="ALK469" s="0"/>
      <c r="ALL469" s="0"/>
      <c r="ALM469" s="0"/>
      <c r="ALN469" s="0"/>
      <c r="ALO469" s="0"/>
      <c r="ALP469" s="0"/>
      <c r="ALQ469" s="0"/>
      <c r="ALR469" s="0"/>
      <c r="ALS469" s="0"/>
      <c r="ALT469" s="0"/>
      <c r="ALU469" s="0"/>
      <c r="ALV469" s="0"/>
      <c r="ALW469" s="0"/>
      <c r="ALX469" s="0"/>
      <c r="ALY469" s="0"/>
      <c r="ALZ469" s="0"/>
      <c r="AMA469" s="0"/>
      <c r="AMB469" s="0"/>
      <c r="AMC469" s="0"/>
      <c r="AMD469" s="0"/>
      <c r="AME469" s="0"/>
      <c r="AMF469" s="0"/>
      <c r="AMG469" s="0"/>
      <c r="AMH469" s="0"/>
      <c r="AMI469" s="0"/>
      <c r="AMJ469" s="0"/>
    </row>
    <row r="470" s="14" customFormat="true" ht="12.8" hidden="false" customHeight="false" outlineLevel="0" collapsed="false">
      <c r="C470" s="26"/>
      <c r="E470" s="26"/>
      <c r="H470" s="2"/>
      <c r="I470" s="26"/>
      <c r="J470" s="26"/>
      <c r="K470" s="26"/>
      <c r="O470" s="26"/>
      <c r="P470" s="26"/>
      <c r="Q470" s="26"/>
      <c r="R470" s="26"/>
      <c r="S470" s="26"/>
      <c r="T470" s="26"/>
      <c r="U470" s="26"/>
      <c r="W470" s="27"/>
      <c r="AE470" s="26"/>
      <c r="AF470" s="26"/>
      <c r="AG470" s="26"/>
      <c r="AH470" s="26"/>
      <c r="AI470" s="26"/>
      <c r="AJ470" s="26"/>
      <c r="AKX470" s="0"/>
      <c r="AKY470" s="0"/>
      <c r="AKZ470" s="0"/>
      <c r="ALA470" s="0"/>
      <c r="ALB470" s="0"/>
      <c r="ALC470" s="0"/>
      <c r="ALD470" s="0"/>
      <c r="ALE470" s="0"/>
      <c r="ALF470" s="0"/>
      <c r="ALG470" s="0"/>
      <c r="ALH470" s="0"/>
      <c r="ALI470" s="0"/>
      <c r="ALJ470" s="0"/>
      <c r="ALK470" s="0"/>
      <c r="ALL470" s="0"/>
      <c r="ALM470" s="0"/>
      <c r="ALN470" s="0"/>
      <c r="ALO470" s="0"/>
      <c r="ALP470" s="0"/>
      <c r="ALQ470" s="0"/>
      <c r="ALR470" s="0"/>
      <c r="ALS470" s="0"/>
      <c r="ALT470" s="0"/>
      <c r="ALU470" s="0"/>
      <c r="ALV470" s="0"/>
      <c r="ALW470" s="0"/>
      <c r="ALX470" s="0"/>
      <c r="ALY470" s="0"/>
      <c r="ALZ470" s="0"/>
      <c r="AMA470" s="0"/>
      <c r="AMB470" s="0"/>
      <c r="AMC470" s="0"/>
      <c r="AMD470" s="0"/>
      <c r="AME470" s="0"/>
      <c r="AMF470" s="0"/>
      <c r="AMG470" s="0"/>
      <c r="AMH470" s="0"/>
      <c r="AMI470" s="0"/>
      <c r="AMJ470" s="0"/>
    </row>
    <row r="471" s="14" customFormat="true" ht="12.8" hidden="false" customHeight="false" outlineLevel="0" collapsed="false">
      <c r="C471" s="26"/>
      <c r="E471" s="26"/>
      <c r="H471" s="2"/>
      <c r="I471" s="26"/>
      <c r="J471" s="26"/>
      <c r="K471" s="26"/>
      <c r="O471" s="26"/>
      <c r="P471" s="26"/>
      <c r="Q471" s="26"/>
      <c r="R471" s="26"/>
      <c r="S471" s="26"/>
      <c r="T471" s="26"/>
      <c r="U471" s="26"/>
      <c r="W471" s="27"/>
      <c r="AE471" s="26"/>
      <c r="AF471" s="26"/>
      <c r="AG471" s="26"/>
      <c r="AH471" s="26"/>
      <c r="AI471" s="26"/>
      <c r="AJ471" s="26"/>
      <c r="AKX471" s="0"/>
      <c r="AKY471" s="0"/>
      <c r="AKZ471" s="0"/>
      <c r="ALA471" s="0"/>
      <c r="ALB471" s="0"/>
      <c r="ALC471" s="0"/>
      <c r="ALD471" s="0"/>
      <c r="ALE471" s="0"/>
      <c r="ALF471" s="0"/>
      <c r="ALG471" s="0"/>
      <c r="ALH471" s="0"/>
      <c r="ALI471" s="0"/>
      <c r="ALJ471" s="0"/>
      <c r="ALK471" s="0"/>
      <c r="ALL471" s="0"/>
      <c r="ALM471" s="0"/>
      <c r="ALN471" s="0"/>
      <c r="ALO471" s="0"/>
      <c r="ALP471" s="0"/>
      <c r="ALQ471" s="0"/>
      <c r="ALR471" s="0"/>
      <c r="ALS471" s="0"/>
      <c r="ALT471" s="0"/>
      <c r="ALU471" s="0"/>
      <c r="ALV471" s="0"/>
      <c r="ALW471" s="0"/>
      <c r="ALX471" s="0"/>
      <c r="ALY471" s="0"/>
      <c r="ALZ471" s="0"/>
      <c r="AMA471" s="0"/>
      <c r="AMB471" s="0"/>
      <c r="AMC471" s="0"/>
      <c r="AMD471" s="0"/>
      <c r="AME471" s="0"/>
      <c r="AMF471" s="0"/>
      <c r="AMG471" s="0"/>
      <c r="AMH471" s="0"/>
      <c r="AMI471" s="0"/>
      <c r="AMJ471" s="0"/>
    </row>
    <row r="472" s="14" customFormat="true" ht="12.8" hidden="false" customHeight="false" outlineLevel="0" collapsed="false">
      <c r="C472" s="26"/>
      <c r="E472" s="26"/>
      <c r="H472" s="2"/>
      <c r="I472" s="26"/>
      <c r="J472" s="26"/>
      <c r="K472" s="26"/>
      <c r="O472" s="26"/>
      <c r="P472" s="26"/>
      <c r="Q472" s="26"/>
      <c r="R472" s="26"/>
      <c r="S472" s="26"/>
      <c r="T472" s="26"/>
      <c r="U472" s="26"/>
      <c r="W472" s="27"/>
      <c r="AE472" s="26"/>
      <c r="AF472" s="26"/>
      <c r="AG472" s="26"/>
      <c r="AH472" s="26"/>
      <c r="AI472" s="26"/>
      <c r="AJ472" s="26"/>
      <c r="AKX472" s="0"/>
      <c r="AKY472" s="0"/>
      <c r="AKZ472" s="0"/>
      <c r="ALA472" s="0"/>
      <c r="ALB472" s="0"/>
      <c r="ALC472" s="0"/>
      <c r="ALD472" s="0"/>
      <c r="ALE472" s="0"/>
      <c r="ALF472" s="0"/>
      <c r="ALG472" s="0"/>
      <c r="ALH472" s="0"/>
      <c r="ALI472" s="0"/>
      <c r="ALJ472" s="0"/>
      <c r="ALK472" s="0"/>
      <c r="ALL472" s="0"/>
      <c r="ALM472" s="0"/>
      <c r="ALN472" s="0"/>
      <c r="ALO472" s="0"/>
      <c r="ALP472" s="0"/>
      <c r="ALQ472" s="0"/>
      <c r="ALR472" s="0"/>
      <c r="ALS472" s="0"/>
      <c r="ALT472" s="0"/>
      <c r="ALU472" s="0"/>
      <c r="ALV472" s="0"/>
      <c r="ALW472" s="0"/>
      <c r="ALX472" s="0"/>
      <c r="ALY472" s="0"/>
      <c r="ALZ472" s="0"/>
      <c r="AMA472" s="0"/>
      <c r="AMB472" s="0"/>
      <c r="AMC472" s="0"/>
      <c r="AMD472" s="0"/>
      <c r="AME472" s="0"/>
      <c r="AMF472" s="0"/>
      <c r="AMG472" s="0"/>
      <c r="AMH472" s="0"/>
      <c r="AMI472" s="0"/>
      <c r="AMJ472" s="0"/>
    </row>
    <row r="473" s="14" customFormat="true" ht="12.8" hidden="false" customHeight="false" outlineLevel="0" collapsed="false">
      <c r="C473" s="26"/>
      <c r="E473" s="26"/>
      <c r="H473" s="2"/>
      <c r="I473" s="26"/>
      <c r="J473" s="26"/>
      <c r="K473" s="26"/>
      <c r="O473" s="26"/>
      <c r="P473" s="26"/>
      <c r="Q473" s="26"/>
      <c r="R473" s="26"/>
      <c r="S473" s="26"/>
      <c r="T473" s="26"/>
      <c r="U473" s="26"/>
      <c r="W473" s="27"/>
      <c r="AE473" s="26"/>
      <c r="AF473" s="26"/>
      <c r="AG473" s="26"/>
      <c r="AH473" s="26"/>
      <c r="AI473" s="26"/>
      <c r="AJ473" s="26"/>
      <c r="AKX473" s="0"/>
      <c r="AKY473" s="0"/>
      <c r="AKZ473" s="0"/>
      <c r="ALA473" s="0"/>
      <c r="ALB473" s="0"/>
      <c r="ALC473" s="0"/>
      <c r="ALD473" s="0"/>
      <c r="ALE473" s="0"/>
      <c r="ALF473" s="0"/>
      <c r="ALG473" s="0"/>
      <c r="ALH473" s="0"/>
      <c r="ALI473" s="0"/>
      <c r="ALJ473" s="0"/>
      <c r="ALK473" s="0"/>
      <c r="ALL473" s="0"/>
      <c r="ALM473" s="0"/>
      <c r="ALN473" s="0"/>
      <c r="ALO473" s="0"/>
      <c r="ALP473" s="0"/>
      <c r="ALQ473" s="0"/>
      <c r="ALR473" s="0"/>
      <c r="ALS473" s="0"/>
      <c r="ALT473" s="0"/>
      <c r="ALU473" s="0"/>
      <c r="ALV473" s="0"/>
      <c r="ALW473" s="0"/>
      <c r="ALX473" s="0"/>
      <c r="ALY473" s="0"/>
      <c r="ALZ473" s="0"/>
      <c r="AMA473" s="0"/>
      <c r="AMB473" s="0"/>
      <c r="AMC473" s="0"/>
      <c r="AMD473" s="0"/>
      <c r="AME473" s="0"/>
      <c r="AMF473" s="0"/>
      <c r="AMG473" s="0"/>
      <c r="AMH473" s="0"/>
      <c r="AMI473" s="0"/>
      <c r="AMJ473" s="0"/>
    </row>
    <row r="474" s="14" customFormat="true" ht="12.8" hidden="false" customHeight="false" outlineLevel="0" collapsed="false">
      <c r="C474" s="26"/>
      <c r="E474" s="26"/>
      <c r="H474" s="2"/>
      <c r="I474" s="26"/>
      <c r="J474" s="26"/>
      <c r="K474" s="26"/>
      <c r="O474" s="26"/>
      <c r="P474" s="26"/>
      <c r="Q474" s="26"/>
      <c r="R474" s="26"/>
      <c r="S474" s="26"/>
      <c r="T474" s="26"/>
      <c r="U474" s="26"/>
      <c r="W474" s="27"/>
      <c r="AE474" s="26"/>
      <c r="AF474" s="26"/>
      <c r="AG474" s="26"/>
      <c r="AH474" s="26"/>
      <c r="AI474" s="26"/>
      <c r="AJ474" s="26"/>
      <c r="AKX474" s="0"/>
      <c r="AKY474" s="0"/>
      <c r="AKZ474" s="0"/>
      <c r="ALA474" s="0"/>
      <c r="ALB474" s="0"/>
      <c r="ALC474" s="0"/>
      <c r="ALD474" s="0"/>
      <c r="ALE474" s="0"/>
      <c r="ALF474" s="0"/>
      <c r="ALG474" s="0"/>
      <c r="ALH474" s="0"/>
      <c r="ALI474" s="0"/>
      <c r="ALJ474" s="0"/>
      <c r="ALK474" s="0"/>
      <c r="ALL474" s="0"/>
      <c r="ALM474" s="0"/>
      <c r="ALN474" s="0"/>
      <c r="ALO474" s="0"/>
      <c r="ALP474" s="0"/>
      <c r="ALQ474" s="0"/>
      <c r="ALR474" s="0"/>
      <c r="ALS474" s="0"/>
      <c r="ALT474" s="0"/>
      <c r="ALU474" s="0"/>
      <c r="ALV474" s="0"/>
      <c r="ALW474" s="0"/>
      <c r="ALX474" s="0"/>
      <c r="ALY474" s="0"/>
      <c r="ALZ474" s="0"/>
      <c r="AMA474" s="0"/>
      <c r="AMB474" s="0"/>
      <c r="AMC474" s="0"/>
      <c r="AMD474" s="0"/>
      <c r="AME474" s="0"/>
      <c r="AMF474" s="0"/>
      <c r="AMG474" s="0"/>
      <c r="AMH474" s="0"/>
      <c r="AMI474" s="0"/>
      <c r="AMJ474" s="0"/>
    </row>
    <row r="475" s="14" customFormat="true" ht="12.8" hidden="false" customHeight="false" outlineLevel="0" collapsed="false">
      <c r="C475" s="26"/>
      <c r="E475" s="26"/>
      <c r="H475" s="2"/>
      <c r="I475" s="26"/>
      <c r="J475" s="26"/>
      <c r="K475" s="26"/>
      <c r="O475" s="26"/>
      <c r="P475" s="26"/>
      <c r="Q475" s="26"/>
      <c r="R475" s="26"/>
      <c r="S475" s="26"/>
      <c r="T475" s="26"/>
      <c r="U475" s="26"/>
      <c r="W475" s="27"/>
      <c r="AE475" s="26"/>
      <c r="AF475" s="26"/>
      <c r="AG475" s="26"/>
      <c r="AH475" s="26"/>
      <c r="AI475" s="26"/>
      <c r="AJ475" s="26"/>
      <c r="AKX475" s="0"/>
      <c r="AKY475" s="0"/>
      <c r="AKZ475" s="0"/>
      <c r="ALA475" s="0"/>
      <c r="ALB475" s="0"/>
      <c r="ALC475" s="0"/>
      <c r="ALD475" s="0"/>
      <c r="ALE475" s="0"/>
      <c r="ALF475" s="0"/>
      <c r="ALG475" s="0"/>
      <c r="ALH475" s="0"/>
      <c r="ALI475" s="0"/>
      <c r="ALJ475" s="0"/>
      <c r="ALK475" s="0"/>
      <c r="ALL475" s="0"/>
      <c r="ALM475" s="0"/>
      <c r="ALN475" s="0"/>
      <c r="ALO475" s="0"/>
      <c r="ALP475" s="0"/>
      <c r="ALQ475" s="0"/>
      <c r="ALR475" s="0"/>
      <c r="ALS475" s="0"/>
      <c r="ALT475" s="0"/>
      <c r="ALU475" s="0"/>
      <c r="ALV475" s="0"/>
      <c r="ALW475" s="0"/>
      <c r="ALX475" s="0"/>
      <c r="ALY475" s="0"/>
      <c r="ALZ475" s="0"/>
      <c r="AMA475" s="0"/>
      <c r="AMB475" s="0"/>
      <c r="AMC475" s="0"/>
      <c r="AMD475" s="0"/>
      <c r="AME475" s="0"/>
      <c r="AMF475" s="0"/>
      <c r="AMG475" s="0"/>
      <c r="AMH475" s="0"/>
      <c r="AMI475" s="0"/>
      <c r="AMJ475" s="0"/>
    </row>
    <row r="476" s="14" customFormat="true" ht="12.8" hidden="false" customHeight="false" outlineLevel="0" collapsed="false">
      <c r="C476" s="26"/>
      <c r="E476" s="26"/>
      <c r="H476" s="2"/>
      <c r="I476" s="26"/>
      <c r="J476" s="26"/>
      <c r="K476" s="26"/>
      <c r="O476" s="26"/>
      <c r="P476" s="26"/>
      <c r="Q476" s="26"/>
      <c r="R476" s="26"/>
      <c r="S476" s="26"/>
      <c r="T476" s="26"/>
      <c r="U476" s="26"/>
      <c r="W476" s="27"/>
      <c r="AE476" s="26"/>
      <c r="AF476" s="26"/>
      <c r="AG476" s="26"/>
      <c r="AH476" s="26"/>
      <c r="AI476" s="26"/>
      <c r="AJ476" s="26"/>
      <c r="AKX476" s="0"/>
      <c r="AKY476" s="0"/>
      <c r="AKZ476" s="0"/>
      <c r="ALA476" s="0"/>
      <c r="ALB476" s="0"/>
      <c r="ALC476" s="0"/>
      <c r="ALD476" s="0"/>
      <c r="ALE476" s="0"/>
      <c r="ALF476" s="0"/>
      <c r="ALG476" s="0"/>
      <c r="ALH476" s="0"/>
      <c r="ALI476" s="0"/>
      <c r="ALJ476" s="0"/>
      <c r="ALK476" s="0"/>
      <c r="ALL476" s="0"/>
      <c r="ALM476" s="0"/>
      <c r="ALN476" s="0"/>
      <c r="ALO476" s="0"/>
      <c r="ALP476" s="0"/>
      <c r="ALQ476" s="0"/>
      <c r="ALR476" s="0"/>
      <c r="ALS476" s="0"/>
      <c r="ALT476" s="0"/>
      <c r="ALU476" s="0"/>
      <c r="ALV476" s="0"/>
      <c r="ALW476" s="0"/>
      <c r="ALX476" s="0"/>
      <c r="ALY476" s="0"/>
      <c r="ALZ476" s="0"/>
      <c r="AMA476" s="0"/>
      <c r="AMB476" s="0"/>
      <c r="AMC476" s="0"/>
      <c r="AMD476" s="0"/>
      <c r="AME476" s="0"/>
      <c r="AMF476" s="0"/>
      <c r="AMG476" s="0"/>
      <c r="AMH476" s="0"/>
      <c r="AMI476" s="0"/>
      <c r="AMJ476" s="0"/>
    </row>
    <row r="477" s="14" customFormat="true" ht="12.8" hidden="false" customHeight="false" outlineLevel="0" collapsed="false">
      <c r="C477" s="26"/>
      <c r="E477" s="26"/>
      <c r="H477" s="2"/>
      <c r="I477" s="26"/>
      <c r="J477" s="26"/>
      <c r="K477" s="26"/>
      <c r="O477" s="26"/>
      <c r="P477" s="26"/>
      <c r="Q477" s="26"/>
      <c r="R477" s="26"/>
      <c r="S477" s="26"/>
      <c r="T477" s="26"/>
      <c r="U477" s="26"/>
      <c r="W477" s="27"/>
      <c r="AE477" s="26"/>
      <c r="AF477" s="26"/>
      <c r="AG477" s="26"/>
      <c r="AH477" s="26"/>
      <c r="AI477" s="26"/>
      <c r="AJ477" s="26"/>
      <c r="AKX477" s="0"/>
      <c r="AKY477" s="0"/>
      <c r="AKZ477" s="0"/>
      <c r="ALA477" s="0"/>
      <c r="ALB477" s="0"/>
      <c r="ALC477" s="0"/>
      <c r="ALD477" s="0"/>
      <c r="ALE477" s="0"/>
      <c r="ALF477" s="0"/>
      <c r="ALG477" s="0"/>
      <c r="ALH477" s="0"/>
      <c r="ALI477" s="0"/>
      <c r="ALJ477" s="0"/>
      <c r="ALK477" s="0"/>
      <c r="ALL477" s="0"/>
      <c r="ALM477" s="0"/>
      <c r="ALN477" s="0"/>
      <c r="ALO477" s="0"/>
      <c r="ALP477" s="0"/>
      <c r="ALQ477" s="0"/>
      <c r="ALR477" s="0"/>
      <c r="ALS477" s="0"/>
      <c r="ALT477" s="0"/>
      <c r="ALU477" s="0"/>
      <c r="ALV477" s="0"/>
      <c r="ALW477" s="0"/>
      <c r="ALX477" s="0"/>
      <c r="ALY477" s="0"/>
      <c r="ALZ477" s="0"/>
      <c r="AMA477" s="0"/>
      <c r="AMB477" s="0"/>
      <c r="AMC477" s="0"/>
      <c r="AMD477" s="0"/>
      <c r="AME477" s="0"/>
      <c r="AMF477" s="0"/>
      <c r="AMG477" s="0"/>
      <c r="AMH477" s="0"/>
      <c r="AMI477" s="0"/>
      <c r="AMJ477" s="0"/>
    </row>
    <row r="478" s="14" customFormat="true" ht="12.8" hidden="false" customHeight="false" outlineLevel="0" collapsed="false">
      <c r="C478" s="26"/>
      <c r="E478" s="26"/>
      <c r="H478" s="2"/>
      <c r="I478" s="26"/>
      <c r="J478" s="26"/>
      <c r="K478" s="26"/>
      <c r="O478" s="26"/>
      <c r="P478" s="26"/>
      <c r="Q478" s="26"/>
      <c r="R478" s="26"/>
      <c r="S478" s="26"/>
      <c r="T478" s="26"/>
      <c r="U478" s="26"/>
      <c r="W478" s="27"/>
      <c r="AE478" s="26"/>
      <c r="AF478" s="26"/>
      <c r="AG478" s="26"/>
      <c r="AH478" s="26"/>
      <c r="AI478" s="26"/>
      <c r="AJ478" s="26"/>
      <c r="AKX478" s="0"/>
      <c r="AKY478" s="0"/>
      <c r="AKZ478" s="0"/>
      <c r="ALA478" s="0"/>
      <c r="ALB478" s="0"/>
      <c r="ALC478" s="0"/>
      <c r="ALD478" s="0"/>
      <c r="ALE478" s="0"/>
      <c r="ALF478" s="0"/>
      <c r="ALG478" s="0"/>
      <c r="ALH478" s="0"/>
      <c r="ALI478" s="0"/>
      <c r="ALJ478" s="0"/>
      <c r="ALK478" s="0"/>
      <c r="ALL478" s="0"/>
      <c r="ALM478" s="0"/>
      <c r="ALN478" s="0"/>
      <c r="ALO478" s="0"/>
      <c r="ALP478" s="0"/>
      <c r="ALQ478" s="0"/>
      <c r="ALR478" s="0"/>
      <c r="ALS478" s="0"/>
      <c r="ALT478" s="0"/>
      <c r="ALU478" s="0"/>
      <c r="ALV478" s="0"/>
      <c r="ALW478" s="0"/>
      <c r="ALX478" s="0"/>
      <c r="ALY478" s="0"/>
      <c r="ALZ478" s="0"/>
      <c r="AMA478" s="0"/>
      <c r="AMB478" s="0"/>
      <c r="AMC478" s="0"/>
      <c r="AMD478" s="0"/>
      <c r="AME478" s="0"/>
      <c r="AMF478" s="0"/>
      <c r="AMG478" s="0"/>
      <c r="AMH478" s="0"/>
      <c r="AMI478" s="0"/>
      <c r="AMJ478" s="0"/>
    </row>
    <row r="479" s="14" customFormat="true" ht="12.8" hidden="false" customHeight="false" outlineLevel="0" collapsed="false">
      <c r="C479" s="26"/>
      <c r="E479" s="26"/>
      <c r="H479" s="2"/>
      <c r="I479" s="26"/>
      <c r="J479" s="26"/>
      <c r="K479" s="26"/>
      <c r="O479" s="26"/>
      <c r="P479" s="26"/>
      <c r="Q479" s="26"/>
      <c r="R479" s="26"/>
      <c r="S479" s="26"/>
      <c r="T479" s="26"/>
      <c r="U479" s="26"/>
      <c r="W479" s="27"/>
      <c r="AE479" s="26"/>
      <c r="AF479" s="26"/>
      <c r="AG479" s="26"/>
      <c r="AH479" s="26"/>
      <c r="AI479" s="26"/>
      <c r="AJ479" s="26"/>
      <c r="AKX479" s="0"/>
      <c r="AKY479" s="0"/>
      <c r="AKZ479" s="0"/>
      <c r="ALA479" s="0"/>
      <c r="ALB479" s="0"/>
      <c r="ALC479" s="0"/>
      <c r="ALD479" s="0"/>
      <c r="ALE479" s="0"/>
      <c r="ALF479" s="0"/>
      <c r="ALG479" s="0"/>
      <c r="ALH479" s="0"/>
      <c r="ALI479" s="0"/>
      <c r="ALJ479" s="0"/>
      <c r="ALK479" s="0"/>
      <c r="ALL479" s="0"/>
      <c r="ALM479" s="0"/>
      <c r="ALN479" s="0"/>
      <c r="ALO479" s="0"/>
      <c r="ALP479" s="0"/>
      <c r="ALQ479" s="0"/>
      <c r="ALR479" s="0"/>
      <c r="ALS479" s="0"/>
      <c r="ALT479" s="0"/>
      <c r="ALU479" s="0"/>
      <c r="ALV479" s="0"/>
      <c r="ALW479" s="0"/>
      <c r="ALX479" s="0"/>
      <c r="ALY479" s="0"/>
      <c r="ALZ479" s="0"/>
      <c r="AMA479" s="0"/>
      <c r="AMB479" s="0"/>
      <c r="AMC479" s="0"/>
      <c r="AMD479" s="0"/>
      <c r="AME479" s="0"/>
      <c r="AMF479" s="0"/>
      <c r="AMG479" s="0"/>
      <c r="AMH479" s="0"/>
      <c r="AMI479" s="0"/>
      <c r="AMJ479" s="0"/>
    </row>
    <row r="480" s="14" customFormat="true" ht="12.8" hidden="false" customHeight="false" outlineLevel="0" collapsed="false">
      <c r="C480" s="26"/>
      <c r="E480" s="26"/>
      <c r="H480" s="2"/>
      <c r="I480" s="26"/>
      <c r="J480" s="26"/>
      <c r="K480" s="26"/>
      <c r="O480" s="26"/>
      <c r="P480" s="26"/>
      <c r="Q480" s="26"/>
      <c r="R480" s="26"/>
      <c r="S480" s="26"/>
      <c r="T480" s="26"/>
      <c r="U480" s="26"/>
      <c r="W480" s="27"/>
      <c r="AE480" s="26"/>
      <c r="AF480" s="26"/>
      <c r="AG480" s="26"/>
      <c r="AH480" s="26"/>
      <c r="AI480" s="26"/>
      <c r="AJ480" s="26"/>
      <c r="AKX480" s="0"/>
      <c r="AKY480" s="0"/>
      <c r="AKZ480" s="0"/>
      <c r="ALA480" s="0"/>
      <c r="ALB480" s="0"/>
      <c r="ALC480" s="0"/>
      <c r="ALD480" s="0"/>
      <c r="ALE480" s="0"/>
      <c r="ALF480" s="0"/>
      <c r="ALG480" s="0"/>
      <c r="ALH480" s="0"/>
      <c r="ALI480" s="0"/>
      <c r="ALJ480" s="0"/>
      <c r="ALK480" s="0"/>
      <c r="ALL480" s="0"/>
      <c r="ALM480" s="0"/>
      <c r="ALN480" s="0"/>
      <c r="ALO480" s="0"/>
      <c r="ALP480" s="0"/>
      <c r="ALQ480" s="0"/>
      <c r="ALR480" s="0"/>
      <c r="ALS480" s="0"/>
      <c r="ALT480" s="0"/>
      <c r="ALU480" s="0"/>
      <c r="ALV480" s="0"/>
      <c r="ALW480" s="0"/>
      <c r="ALX480" s="0"/>
      <c r="ALY480" s="0"/>
      <c r="ALZ480" s="0"/>
      <c r="AMA480" s="0"/>
      <c r="AMB480" s="0"/>
      <c r="AMC480" s="0"/>
      <c r="AMD480" s="0"/>
      <c r="AME480" s="0"/>
      <c r="AMF480" s="0"/>
      <c r="AMG480" s="0"/>
      <c r="AMH480" s="0"/>
      <c r="AMI480" s="0"/>
      <c r="AMJ480" s="0"/>
    </row>
    <row r="481" s="14" customFormat="true" ht="12.8" hidden="false" customHeight="false" outlineLevel="0" collapsed="false">
      <c r="C481" s="26"/>
      <c r="E481" s="26"/>
      <c r="H481" s="2"/>
      <c r="I481" s="26"/>
      <c r="J481" s="26"/>
      <c r="K481" s="26"/>
      <c r="O481" s="26"/>
      <c r="P481" s="26"/>
      <c r="Q481" s="26"/>
      <c r="R481" s="26"/>
      <c r="S481" s="26"/>
      <c r="T481" s="26"/>
      <c r="U481" s="26"/>
      <c r="W481" s="27"/>
      <c r="AE481" s="26"/>
      <c r="AF481" s="26"/>
      <c r="AG481" s="26"/>
      <c r="AH481" s="26"/>
      <c r="AI481" s="26"/>
      <c r="AJ481" s="26"/>
      <c r="AKX481" s="0"/>
      <c r="AKY481" s="0"/>
      <c r="AKZ481" s="0"/>
      <c r="ALA481" s="0"/>
      <c r="ALB481" s="0"/>
      <c r="ALC481" s="0"/>
      <c r="ALD481" s="0"/>
      <c r="ALE481" s="0"/>
      <c r="ALF481" s="0"/>
      <c r="ALG481" s="0"/>
      <c r="ALH481" s="0"/>
      <c r="ALI481" s="0"/>
      <c r="ALJ481" s="0"/>
      <c r="ALK481" s="0"/>
      <c r="ALL481" s="0"/>
      <c r="ALM481" s="0"/>
      <c r="ALN481" s="0"/>
      <c r="ALO481" s="0"/>
      <c r="ALP481" s="0"/>
      <c r="ALQ481" s="0"/>
      <c r="ALR481" s="0"/>
      <c r="ALS481" s="0"/>
      <c r="ALT481" s="0"/>
      <c r="ALU481" s="0"/>
      <c r="ALV481" s="0"/>
      <c r="ALW481" s="0"/>
      <c r="ALX481" s="0"/>
      <c r="ALY481" s="0"/>
      <c r="ALZ481" s="0"/>
      <c r="AMA481" s="0"/>
      <c r="AMB481" s="0"/>
      <c r="AMC481" s="0"/>
      <c r="AMD481" s="0"/>
      <c r="AME481" s="0"/>
      <c r="AMF481" s="0"/>
      <c r="AMG481" s="0"/>
      <c r="AMH481" s="0"/>
      <c r="AMI481" s="0"/>
      <c r="AMJ481" s="0"/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9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F2" activeCellId="0" sqref="F2"/>
    </sheetView>
  </sheetViews>
  <sheetFormatPr defaultColWidth="8.6875" defaultRowHeight="12.75" zeroHeight="false" outlineLevelRow="0" outlineLevelCol="0"/>
  <sheetData>
    <row r="1" customFormat="false" ht="12.75" hidden="false" customHeight="false" outlineLevel="0" collapsed="false">
      <c r="A1" s="28" t="s">
        <v>36</v>
      </c>
    </row>
    <row r="2" customFormat="false" ht="12.75" hidden="false" customHeight="false" outlineLevel="0" collapsed="false">
      <c r="A2" s="28" t="s">
        <v>37</v>
      </c>
      <c r="B2" s="29" t="n">
        <f aca="false">MEDIAN('TheBigOne 2020_06_02'!F2:F6,'TheBigOne 2020_06_02'!F141:F177)</f>
        <v>11</v>
      </c>
      <c r="C2" s="0" t="n">
        <f aca="false">QUARTILE(('TheBigOne 2020_06_02'!$F$2:$F$6~'TheBigOne 2020_06_02'!$F$141:$F$177), 1)</f>
        <v>6.25</v>
      </c>
      <c r="D2" s="0" t="n">
        <f aca="false">QUARTILE(('TheBigOne 2020_06_02'!$F$2:$F$6~'TheBigOne 2020_06_02'!$F$141:$F$177), 3)</f>
        <v>15.75</v>
      </c>
      <c r="F2" s="0" t="str">
        <f aca="false">B2&amp;" ("&amp;C2&amp;-D2&amp;")"</f>
        <v>11 (6.25-15.75)</v>
      </c>
      <c r="G2" s="30"/>
      <c r="H2" s="30"/>
    </row>
    <row r="3" customFormat="false" ht="12.75" hidden="false" customHeight="false" outlineLevel="0" collapsed="false">
      <c r="A3" s="28" t="s">
        <v>38</v>
      </c>
      <c r="B3" s="29" t="n">
        <f aca="false">MEDIAN('TheBigOne 2020_06_02'!F2:F6)</f>
        <v>29</v>
      </c>
      <c r="C3" s="0" t="n">
        <f aca="false">QUARTILE(('TheBigOne 2020_06_02'!$F$2:$F$6), 1)</f>
        <v>28</v>
      </c>
      <c r="D3" s="0" t="n">
        <f aca="false">QUARTILE(('TheBigOne 2020_06_02'!$F$2:$F$6), 3)</f>
        <v>34</v>
      </c>
      <c r="F3" s="0" t="str">
        <f aca="false">B3&amp;" ("&amp;C3&amp;-D3&amp;")"</f>
        <v>29 (28-34)</v>
      </c>
    </row>
    <row r="4" customFormat="false" ht="12.75" hidden="false" customHeight="false" outlineLevel="0" collapsed="false">
      <c r="A4" s="28" t="s">
        <v>39</v>
      </c>
      <c r="B4" s="29" t="n">
        <f aca="false">MEDIAN('TheBigOne 2020_06_02'!F141:F177)</f>
        <v>10</v>
      </c>
      <c r="C4" s="0" t="n">
        <f aca="false">QUARTILE(('TheBigOne 2020_06_02'!$F$141:$F$177), 1)</f>
        <v>6</v>
      </c>
      <c r="D4" s="0" t="n">
        <f aca="false">QUARTILE(('TheBigOne 2020_06_02'!$F$141:$F$177), 3)</f>
        <v>13</v>
      </c>
      <c r="F4" s="0" t="str">
        <f aca="false">B4&amp;" ("&amp;C4&amp;-D4&amp;")"</f>
        <v>10 (6-13)</v>
      </c>
    </row>
    <row r="7" customFormat="false" ht="12.75" hidden="false" customHeight="false" outlineLevel="0" collapsed="false">
      <c r="A7" s="28" t="s">
        <v>40</v>
      </c>
    </row>
    <row r="8" customFormat="false" ht="12.75" hidden="false" customHeight="false" outlineLevel="0" collapsed="false">
      <c r="A8" s="28" t="s">
        <v>41</v>
      </c>
      <c r="B8" s="29" t="n">
        <f aca="false">MEDIAN('TheBigOne 2020_06_02'!$G$89:$G$140)</f>
        <v>7</v>
      </c>
      <c r="C8" s="0" t="n">
        <f aca="false">QUARTILE(('TheBigOne 2020_06_02'!$G$89:$G$140), 1)</f>
        <v>3</v>
      </c>
      <c r="D8" s="0" t="n">
        <f aca="false">QUARTILE(('TheBigOne 2020_06_02'!$G$89:$G$140), 3)</f>
        <v>10.5</v>
      </c>
      <c r="F8" s="0" t="str">
        <f aca="false">B8&amp;" ("&amp;C8&amp;-D8&amp;")"</f>
        <v>7 (3-10.5)</v>
      </c>
    </row>
    <row r="9" customFormat="false" ht="12.75" hidden="false" customHeight="false" outlineLevel="0" collapsed="false">
      <c r="A9" s="28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</TotalTime>
  <Application>LibreOffice/7.0.4.2$Linux_X86_64 LibreOffice_project/00$Build-2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2020-06-02T21:44:07Z</dcterms:created>
  <dc:creator/>
  <dc:description/>
  <dc:language>en-US</dc:language>
  <cp:lastModifiedBy/>
  <dcterms:modified xsi:type="dcterms:W3CDTF">2021-01-15T00:23:46Z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